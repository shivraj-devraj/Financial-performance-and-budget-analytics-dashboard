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8.xml" ContentType="application/vnd.openxmlformats-officedocument.spreadsheetml.worksheet+xml"/>
  <Override PartName="/xl/tables/table15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partment Analysis" sheetId="2" state="visible" r:id="rId2"/>
    <sheet name="Project Analysis" sheetId="3" state="visible" r:id="rId3"/>
    <sheet name="Employee Analysis" sheetId="4" state="visible" r:id="rId4"/>
    <sheet name="Data Quality" sheetId="5" state="visible" r:id="rId5"/>
    <sheet name="Data Dictionary" sheetId="6" state="visible" r:id="rId6"/>
    <sheet name="Source Data" sheetId="7" state="hidden" r:id="rId7"/>
    <sheet name="Config" sheetId="8" state="hidden" r:id="rId8"/>
  </sheets>
  <definedNames>
    <definedName name="_xlnm._FilterDatabase" localSheetId="0" hidden="1">'Executive Summary'!$A$1:$L$15</definedName>
    <definedName name="_xlnm._FilterDatabase" localSheetId="1" hidden="1">'Department Analysis'!$A$1:$G$9</definedName>
    <definedName name="_xlnm._FilterDatabase" localSheetId="2" hidden="1">'Project Analysis'!$A$1:$I$14</definedName>
    <definedName name="_xlnm._FilterDatabase" localSheetId="3" hidden="1">'Employee Analysis'!$A$1:$F$18</definedName>
    <definedName name="_xlnm._FilterDatabase" localSheetId="4" hidden="1">'Data Quality'!$A$1:$D$14</definedName>
    <definedName name="_xlnm._FilterDatabase" localSheetId="5" hidden="1">'Data Dictionary'!$A$1:$E$16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12">
    <font>
      <name val="Calibri"/>
      <family val="2"/>
      <color theme="1"/>
      <sz val="11"/>
      <scheme val="minor"/>
    </font>
    <font>
      <b val="1"/>
      <color rgb="00B55345"/>
    </font>
    <font>
      <i val="1"/>
      <color rgb="005C7075"/>
    </font>
    <font>
      <name val="Aptos Display"/>
      <b val="1"/>
      <color rgb="00FFFFFF"/>
      <sz val="20"/>
    </font>
    <font>
      <name val="Aptos"/>
      <i val="1"/>
      <color rgb="005C7075"/>
      <sz val="10"/>
    </font>
    <font>
      <name val="Aptos"/>
      <b val="1"/>
      <color rgb="00173B43"/>
      <sz val="10"/>
    </font>
    <font>
      <name val="Aptos Display"/>
      <b val="1"/>
      <color rgb="00187A78"/>
      <sz val="20"/>
    </font>
    <font>
      <name val="Aptos"/>
      <b val="1"/>
      <color rgb="00173B43"/>
      <sz val="11"/>
    </font>
    <font>
      <name val="Aptos"/>
      <b val="1"/>
      <color rgb="00FFFFFF"/>
      <sz val="10"/>
    </font>
    <font>
      <b val="1"/>
      <color rgb="00173B43"/>
    </font>
    <font>
      <color rgb="00233238"/>
    </font>
    <font>
      <name val="Aptos"/>
      <color rgb="00233238"/>
      <sz val="10"/>
    </font>
  </fonts>
  <fills count="6">
    <fill>
      <patternFill/>
    </fill>
    <fill>
      <patternFill patternType="gray125"/>
    </fill>
    <fill>
      <patternFill patternType="solid">
        <fgColor rgb="00173B43"/>
      </patternFill>
    </fill>
    <fill>
      <patternFill patternType="solid">
        <fgColor rgb="00DCEFED"/>
      </patternFill>
    </fill>
    <fill>
      <patternFill patternType="solid">
        <fgColor rgb="00F2F7F6"/>
      </patternFill>
    </fill>
    <fill>
      <patternFill patternType="solid">
        <fgColor rgb="00187A78"/>
      </patternFill>
    </fill>
  </fills>
  <borders count="2">
    <border>
      <left/>
      <right/>
      <top/>
      <bottom/>
      <diagonal/>
    </border>
    <border>
      <bottom style="medium">
        <color rgb="00D89B4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2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/>
    </xf>
    <xf numFmtId="4" fontId="6" fillId="4" borderId="0" applyAlignment="1" pivotButton="0" quotePrefix="0" xfId="0">
      <alignment horizontal="center" vertical="center"/>
    </xf>
    <xf numFmtId="0" fontId="7" fillId="0" borderId="0" pivotButton="0" quotePrefix="0" xfId="0"/>
    <xf numFmtId="4" fontId="0" fillId="0" borderId="0" pivotButton="0" quotePrefix="0" xfId="0"/>
    <xf numFmtId="0" fontId="8" fillId="5" borderId="1" applyAlignment="1" pivotButton="0" quotePrefix="0" xfId="0">
      <alignment vertical="center" wrapText="1"/>
    </xf>
    <xf numFmtId="164" fontId="0" fillId="0" borderId="0" pivotButton="0" quotePrefix="0" xfId="0"/>
    <xf numFmtId="1" fontId="0" fillId="0" borderId="0" pivotButton="0" quotePrefix="0" xfId="0"/>
    <xf numFmtId="0" fontId="11" fillId="0" borderId="0" pivotButton="0" quotePrefix="0" xfId="0"/>
    <xf numFmtId="0" fontId="1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dxfs count="1">
    <dxf>
      <font>
        <b val="1"/>
        <color rgb="00B55345"/>
      </font>
      <fill>
        <patternFill patternType="solid">
          <fgColor rgb="00F8DC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Project Count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Summary'!B10</f>
            </strRef>
          </tx>
          <spPr>
            <a:ln>
              <a:prstDash val="solid"/>
            </a:ln>
          </spPr>
          <cat>
            <numRef>
              <f>'Executive Summary'!$A$11:$A$12</f>
            </numRef>
          </cat>
          <val>
            <numRef>
              <f>'Executive Summary'!$B$11:$B$12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Projects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Project Budget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Summary'!F10</f>
            </strRef>
          </tx>
          <spPr>
            <a:ln>
              <a:prstDash val="solid"/>
            </a:ln>
          </spPr>
          <cat>
            <numRef>
              <f>'Executive Summary'!$E$11:$E$15</f>
            </numRef>
          </cat>
          <val>
            <numRef>
              <f>'Executive Summary'!$F$11:$F$15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Project Budget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Employee Count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Summary'!J10</f>
            </strRef>
          </tx>
          <spPr>
            <a:ln>
              <a:prstDash val="solid"/>
            </a:ln>
          </spPr>
          <cat>
            <numRef>
              <f>'Executive Summary'!$I$11:$I$15</f>
            </numRef>
          </cat>
          <val>
            <numRef>
              <f>'Executive Summary'!$J$11:$J$15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Employees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4752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16</row>
      <rowOff>0</rowOff>
    </from>
    <ext cx="4752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31</row>
      <rowOff>0</rowOff>
    </from>
    <ext cx="4752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ProjectStatusSummary" displayName="tblProjectStatusSummary" ref="A10:B12" headerRowCount="1">
  <autoFilter ref="A10:B12"/>
  <tableColumns count="2">
    <tableColumn id="1" name="Status"/>
    <tableColumn id="2" name="Project 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BudgetByDepartment" displayName="tblBudgetByDepartment" ref="D10:F15" headerRowCount="1">
  <autoFilter ref="D10:F15"/>
  <tableColumns count="3">
    <tableColumn id="4" name="Department ID"/>
    <tableColumn id="5" name="Department Name"/>
    <tableColumn id="6" name="Total Project Budge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EmployeeCountByDepartment" displayName="tblEmployeeCountByDepartment" ref="H10:J15" headerRowCount="1">
  <autoFilter ref="H10:J15"/>
  <tableColumns count="3">
    <tableColumn id="8" name="Department ID"/>
    <tableColumn id="9" name="Department Name"/>
    <tableColumn id="10" name="Employee Cou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DepartmentReport" displayName="tblDepartmentReport" ref="A4:G9" headerRowCount="1">
  <autoFilter ref="A4:G9"/>
  <tableColumns count="7">
    <tableColumn id="1" name="Department ID"/>
    <tableColumn id="2" name="Department Name"/>
    <tableColumn id="3" name="Employee Count"/>
    <tableColumn id="4" name="Average Salary"/>
    <tableColumn id="5" name="Total Salary"/>
    <tableColumn id="6" name="Project Count"/>
    <tableColumn id="7" name="Total Project Budge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ProjectReport" displayName="tblProjectReport" ref="A4:I14" headerRowCount="1">
  <autoFilter ref="A4:I14"/>
  <tableColumns count="9">
    <tableColumn id="1" name="Project ID"/>
    <tableColumn id="2" name="Project Name"/>
    <tableColumn id="3" name="Department"/>
    <tableColumn id="4" name="Project Budget"/>
    <tableColumn id="5" name="Status"/>
    <tableColumn id="6" name="Start Date"/>
    <tableColumn id="7" name="End Date"/>
    <tableColumn id="8" name="Derived Duration (Days)"/>
    <tableColumn id="9" name="Assigned Employee Cou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EmployeeReport" displayName="tblEmployeeReport" ref="A4:F14" headerRowCount="1">
  <autoFilter ref="A4:F14"/>
  <tableColumns count="6">
    <tableColumn id="1" name="Employee ID"/>
    <tableColumn id="2" name="Employee Name"/>
    <tableColumn id="3" name="Job Title"/>
    <tableColumn id="4" name="Department"/>
    <tableColumn id="5" name="Salary"/>
    <tableColumn id="6" name="Assigned Project Cou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DataQuality" displayName="tblDataQuality" ref="A4:D14" headerRowCount="1">
  <autoFilter ref="A4:D14"/>
  <tableColumns count="4">
    <tableColumn id="1" name="Issue / Check"/>
    <tableColumn id="2" name="Source"/>
    <tableColumn id="3" name="Evidence"/>
    <tableColumn id="4" name="Handling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DataDictionary" displayName="tblDataDictionary" ref="A4:E41" headerRowCount="1">
  <autoFilter ref="A4:E41"/>
  <tableColumns count="5">
    <tableColumn id="1" name="Dataset"/>
    <tableColumn id="2" name="Column"/>
    <tableColumn id="3" name="Data Type"/>
    <tableColumn id="4" name="Description"/>
    <tableColumn id="5" name="Source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tblEmployees" displayName="tblEmployees" ref="A3:H13" headerRowCount="1">
  <autoFilter ref="A3:H13"/>
  <tableColumns count="8">
    <tableColumn id="1" name="employee_id"/>
    <tableColumn id="2" name="first_name"/>
    <tableColumn id="3" name="last_name"/>
    <tableColumn id="4" name="email"/>
    <tableColumn id="5" name="job_title"/>
    <tableColumn id="6" name="salary"/>
    <tableColumn id="7" name="hire_date"/>
    <tableColumn id="8" name="department_id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Departments" displayName="tblDepartments" ref="A16:G21" headerRowCount="1">
  <autoFilter ref="A16:G21"/>
  <tableColumns count="7">
    <tableColumn id="1" name="department_id"/>
    <tableColumn id="2" name="department_name"/>
    <tableColumn id="3" name="department_budget"/>
    <tableColumn id="4" name="head_of_department"/>
    <tableColumn id="5" name="number_of_employees"/>
    <tableColumn id="6" name="department_goals"/>
    <tableColumn id="7" name="location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Projects" displayName="tblProjects" ref="A24:F34" headerRowCount="1">
  <autoFilter ref="A24:F34"/>
  <tableColumns count="6">
    <tableColumn id="1" name="project_id"/>
    <tableColumn id="2" name="project_name"/>
    <tableColumn id="3" name="project_budget"/>
    <tableColumn id="4" name="start_date"/>
    <tableColumn id="5" name="end_date"/>
    <tableColumn id="6" name="department_id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ProjectAssignments" displayName="tblProjectAssignments" ref="A37:C47" headerRowCount="1">
  <autoFilter ref="A37:C47"/>
  <tableColumns count="3">
    <tableColumn id="1" name="assignment_id"/>
    <tableColumn id="2" name="employee_id"/>
    <tableColumn id="3" name="project_id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CompletedProjects" displayName="tblCompletedProjects" ref="A50:F54" headerRowCount="1">
  <autoFilter ref="A50:F54"/>
  <tableColumns count="6">
    <tableColumn id="1" name="project_id"/>
    <tableColumn id="2" name="project_name"/>
    <tableColumn id="3" name="project_budget"/>
    <tableColumn id="4" name="project_start_date"/>
    <tableColumn id="5" name="project_end_date"/>
    <tableColumn id="6" name="department_id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blUpcomingProjects" displayName="tblUpcomingProjects" ref="A57:G63" headerRowCount="1">
  <autoFilter ref="A57:G63"/>
  <tableColumns count="7">
    <tableColumn id="1" name="project_id"/>
    <tableColumn id="2" name="project_name"/>
    <tableColumn id="3" name="project_budget"/>
    <tableColumn id="4" name="project_start_date"/>
    <tableColumn id="5" name="project_end_date"/>
    <tableColumn id="6" name="department_id"/>
    <tableColumn id="7" name="project_lead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ProjectRoot" displayName="tblProjectRoot" ref="A1:A2" headerRowCount="1">
  <autoFilter ref="A1:A2"/>
  <tableColumns count="1">
    <tableColumn id="1" name="ProjectRoo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Relationship Type="http://schemas.openxmlformats.org/officeDocument/2006/relationships/table" Target="/xl/tables/table2.xml" Id="rId3" /><Relationship Type="http://schemas.openxmlformats.org/officeDocument/2006/relationships/table" Target="/xl/tables/table3.xml" Id="rId4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9.xml" Id="rId1" /><Relationship Type="http://schemas.openxmlformats.org/officeDocument/2006/relationships/table" Target="/xl/tables/table10.xml" Id="rId2" /><Relationship Type="http://schemas.openxmlformats.org/officeDocument/2006/relationships/table" Target="/xl/tables/table11.xml" Id="rId3" /><Relationship Type="http://schemas.openxmlformats.org/officeDocument/2006/relationships/table" Target="/xl/tables/table12.xml" Id="rId4" /><Relationship Type="http://schemas.openxmlformats.org/officeDocument/2006/relationships/table" Target="/xl/tables/table13.xml" Id="rId5" /><Relationship Type="http://schemas.openxmlformats.org/officeDocument/2006/relationships/table" Target="/xl/tables/table14.xml" Id="rId6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sheet1.xml><?xml version="1.0" encoding="utf-8"?>
<worksheet xmlns="http://schemas.openxmlformats.org/spreadsheetml/2006/main">
  <sheetPr>
    <tabColor rgb="00187A78"/>
    <outlinePr summaryBelow="1" summaryRight="1"/>
    <pageSetUpPr fitToPage="1"/>
  </sheetPr>
  <dimension ref="A1:L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34" customHeight="1">
      <c r="A1" s="1" t="inlineStr">
        <is>
          <t>Financial Analytics | Executive Summary</t>
        </is>
      </c>
    </row>
    <row r="2" ht="30" customHeight="1">
      <c r="A2" s="2" t="inlineStr">
        <is>
          <t>Static snapshot from cleaned CSVs. Project budget is not revenue or actual spend; formulas recalculate when opened in Excel.</t>
        </is>
      </c>
    </row>
    <row r="4" ht="26" customHeight="1">
      <c r="A4" s="3" t="inlineStr">
        <is>
          <t>Total Employees</t>
        </is>
      </c>
      <c r="C4" s="3" t="inlineStr">
        <is>
          <t>Total Departments</t>
        </is>
      </c>
      <c r="E4" s="3" t="inlineStr">
        <is>
          <t>Total Projects</t>
        </is>
      </c>
      <c r="G4" s="3" t="inlineStr">
        <is>
          <t>Total Project Budget</t>
        </is>
      </c>
      <c r="I4" s="3" t="inlineStr">
        <is>
          <t>Completed Projects</t>
        </is>
      </c>
      <c r="K4" s="3" t="inlineStr">
        <is>
          <t>Upcoming Projects</t>
        </is>
      </c>
    </row>
    <row r="5" ht="28" customHeight="1">
      <c r="A5" s="4">
        <f>COUNTA(tblEmployees[employee_id])</f>
        <v/>
      </c>
      <c r="C5" s="4">
        <f>COUNTA(tblDepartments[department_id])</f>
        <v/>
      </c>
      <c r="E5" s="4">
        <f>COUNTA(tblProjects[project_id])</f>
        <v/>
      </c>
      <c r="G5" s="5">
        <f>SUM(tblProjects[project_budget])</f>
        <v/>
      </c>
      <c r="I5" s="4">
        <f>COUNTA(tblCompletedProjects[project_id])</f>
        <v/>
      </c>
      <c r="K5" s="4">
        <f>COUNTA(tblUpcomingProjects[project_id])</f>
        <v/>
      </c>
    </row>
    <row r="6" ht="14" customHeight="1"/>
    <row r="9">
      <c r="A9" s="6" t="inlineStr">
        <is>
          <t>Project count by status</t>
        </is>
      </c>
      <c r="D9" s="6" t="inlineStr">
        <is>
          <t>Project budget by department</t>
        </is>
      </c>
      <c r="H9" s="6" t="inlineStr">
        <is>
          <t>Employee count by department</t>
        </is>
      </c>
    </row>
    <row r="10">
      <c r="A10" t="inlineStr">
        <is>
          <t>Status</t>
        </is>
      </c>
      <c r="B10" t="inlineStr">
        <is>
          <t>Project Count</t>
        </is>
      </c>
      <c r="D10" t="inlineStr">
        <is>
          <t>Department ID</t>
        </is>
      </c>
      <c r="E10" t="inlineStr">
        <is>
          <t>Department Name</t>
        </is>
      </c>
      <c r="F10" t="inlineStr">
        <is>
          <t>Total Project Budget</t>
        </is>
      </c>
      <c r="H10" t="inlineStr">
        <is>
          <t>Department ID</t>
        </is>
      </c>
      <c r="I10" t="inlineStr">
        <is>
          <t>Department Name</t>
        </is>
      </c>
      <c r="J10" t="inlineStr">
        <is>
          <t>Employee Count</t>
        </is>
      </c>
    </row>
    <row r="11">
      <c r="A11" t="inlineStr">
        <is>
          <t>Completed</t>
        </is>
      </c>
      <c r="B11">
        <f>COUNTA(tblCompletedProjects[project_id])</f>
        <v/>
      </c>
      <c r="D11" t="n">
        <v>1</v>
      </c>
      <c r="E11" t="inlineStr">
        <is>
          <t>Engineering</t>
        </is>
      </c>
      <c r="F11" s="7">
        <f>SUMIFS(tblProjects[project_budget],tblProjects[department_id],D11)</f>
        <v/>
      </c>
      <c r="H11" t="n">
        <v>1</v>
      </c>
      <c r="I11" t="inlineStr">
        <is>
          <t>Engineering</t>
        </is>
      </c>
      <c r="J11">
        <f>COUNTIFS(tblEmployees[department_id],H11)</f>
        <v/>
      </c>
    </row>
    <row r="12">
      <c r="A12" t="inlineStr">
        <is>
          <t>Upcoming</t>
        </is>
      </c>
      <c r="B12">
        <f>COUNTA(tblUpcomingProjects[project_id])</f>
        <v/>
      </c>
      <c r="D12" t="n">
        <v>2</v>
      </c>
      <c r="E12" t="inlineStr">
        <is>
          <t>Marketing</t>
        </is>
      </c>
      <c r="F12" s="7">
        <f>SUMIFS(tblProjects[project_budget],tblProjects[department_id],D12)</f>
        <v/>
      </c>
      <c r="H12" t="n">
        <v>2</v>
      </c>
      <c r="I12" t="inlineStr">
        <is>
          <t>Marketing</t>
        </is>
      </c>
      <c r="J12">
        <f>COUNTIFS(tblEmployees[department_id],H12)</f>
        <v/>
      </c>
    </row>
    <row r="13">
      <c r="D13" t="n">
        <v>3</v>
      </c>
      <c r="E13" t="inlineStr">
        <is>
          <t>Sales</t>
        </is>
      </c>
      <c r="F13" s="7">
        <f>SUMIFS(tblProjects[project_budget],tblProjects[department_id],D13)</f>
        <v/>
      </c>
      <c r="H13" t="n">
        <v>3</v>
      </c>
      <c r="I13" t="inlineStr">
        <is>
          <t>Sales</t>
        </is>
      </c>
      <c r="J13">
        <f>COUNTIFS(tblEmployees[department_id],H13)</f>
        <v/>
      </c>
    </row>
    <row r="14">
      <c r="D14" t="n">
        <v>4</v>
      </c>
      <c r="E14" t="inlineStr">
        <is>
          <t>Human Resources</t>
        </is>
      </c>
      <c r="F14" s="7">
        <f>SUMIFS(tblProjects[project_budget],tblProjects[department_id],D14)</f>
        <v/>
      </c>
      <c r="H14" t="n">
        <v>4</v>
      </c>
      <c r="I14" t="inlineStr">
        <is>
          <t>Human Resources</t>
        </is>
      </c>
      <c r="J14">
        <f>COUNTIFS(tblEmployees[department_id],H14)</f>
        <v/>
      </c>
    </row>
    <row r="15">
      <c r="D15" t="n">
        <v>5</v>
      </c>
      <c r="E15" t="inlineStr">
        <is>
          <t>IT</t>
        </is>
      </c>
      <c r="F15" s="7">
        <f>SUMIFS(tblProjects[project_budget],tblProjects[department_id],D15)</f>
        <v/>
      </c>
      <c r="H15" t="n">
        <v>5</v>
      </c>
      <c r="I15" t="inlineStr">
        <is>
          <t>IT</t>
        </is>
      </c>
      <c r="J15">
        <f>COUNTIFS(tblEmployees[department_id],H15)</f>
        <v/>
      </c>
    </row>
  </sheetData>
  <autoFilter ref="A1:L15"/>
  <mergeCells count="14">
    <mergeCell ref="A4:B4"/>
    <mergeCell ref="G4:H4"/>
    <mergeCell ref="A2:L2"/>
    <mergeCell ref="E4:F4"/>
    <mergeCell ref="I4:J4"/>
    <mergeCell ref="A1:L1"/>
    <mergeCell ref="C5:D6"/>
    <mergeCell ref="A5:B6"/>
    <mergeCell ref="G5:H6"/>
    <mergeCell ref="E5:F6"/>
    <mergeCell ref="K5:L6"/>
    <mergeCell ref="I5:J6"/>
    <mergeCell ref="K4:L4"/>
    <mergeCell ref="C4:D4"/>
  </mergeCells>
  <pageMargins left="0.25" right="0.25" top="0.5" bottom="0.5" header="0.5" footer="0.5"/>
  <pageSetup orientation="landscape" fitToHeight="0" fitToWidth="1"/>
  <drawing xmlns:r="http://schemas.openxmlformats.org/officeDocument/2006/relationships" r:id="rId1"/>
  <tableParts count="3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tabColor rgb="00187A78"/>
    <outlinePr summaryBelow="1" summaryRight="1"/>
    <pageSetUpPr fitToPage="1"/>
  </sheetPr>
  <dimension ref="A1:G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7" customWidth="1" min="3" max="3"/>
    <col width="19" customWidth="1" min="4" max="4"/>
    <col width="17" customWidth="1" min="5" max="5"/>
    <col width="15" customWidth="1" min="6" max="6"/>
    <col width="24" customWidth="1" min="7" max="7"/>
  </cols>
  <sheetData>
    <row r="1" ht="34" customHeight="1">
      <c r="A1" s="1" t="inlineStr">
        <is>
          <t>Department Analysis</t>
        </is>
      </c>
    </row>
    <row r="2" ht="30" customHeight="1">
      <c r="A2" s="2" t="inlineStr">
        <is>
          <t>Counts and salary aggregates use employees_cleaned.csv; project totals use projects_cleaned.csv department assignments.</t>
        </is>
      </c>
    </row>
    <row r="4" ht="28" customHeight="1">
      <c r="A4" s="8" t="inlineStr">
        <is>
          <t>Department ID</t>
        </is>
      </c>
      <c r="B4" s="8" t="inlineStr">
        <is>
          <t>Department Name</t>
        </is>
      </c>
      <c r="C4" s="8" t="inlineStr">
        <is>
          <t>Employee Count</t>
        </is>
      </c>
      <c r="D4" s="8" t="inlineStr">
        <is>
          <t>Average Salary</t>
        </is>
      </c>
      <c r="E4" s="8" t="inlineStr">
        <is>
          <t>Total Salary</t>
        </is>
      </c>
      <c r="F4" s="8" t="inlineStr">
        <is>
          <t>Project Count</t>
        </is>
      </c>
      <c r="G4" s="8" t="inlineStr">
        <is>
          <t>Total Project Budget</t>
        </is>
      </c>
    </row>
    <row r="5">
      <c r="A5" t="n">
        <v>1</v>
      </c>
      <c r="B5">
        <f>XLOOKUP(A5,tblDepartments[department_id],tblDepartments[department_name],"Unknown")</f>
        <v/>
      </c>
      <c r="C5">
        <f>COUNTIFS(tblEmployees[department_id],A5)</f>
        <v/>
      </c>
      <c r="D5" s="7">
        <f>IFERROR(AVERAGEIFS(tblEmployees[salary],tblEmployees[department_id],A5),0)</f>
        <v/>
      </c>
      <c r="E5" s="7">
        <f>SUMIFS(tblEmployees[salary],tblEmployees[department_id],A5)</f>
        <v/>
      </c>
      <c r="F5">
        <f>COUNTIFS(tblProjects[department_id],A5)</f>
        <v/>
      </c>
      <c r="G5" s="7">
        <f>SUMIFS(tblProjects[project_budget],tblProjects[department_id],A5)</f>
        <v/>
      </c>
    </row>
    <row r="6">
      <c r="A6" t="n">
        <v>2</v>
      </c>
      <c r="B6">
        <f>XLOOKUP(A6,tblDepartments[department_id],tblDepartments[department_name],"Unknown")</f>
        <v/>
      </c>
      <c r="C6">
        <f>COUNTIFS(tblEmployees[department_id],A6)</f>
        <v/>
      </c>
      <c r="D6" s="7">
        <f>IFERROR(AVERAGEIFS(tblEmployees[salary],tblEmployees[department_id],A6),0)</f>
        <v/>
      </c>
      <c r="E6" s="7">
        <f>SUMIFS(tblEmployees[salary],tblEmployees[department_id],A6)</f>
        <v/>
      </c>
      <c r="F6">
        <f>COUNTIFS(tblProjects[department_id],A6)</f>
        <v/>
      </c>
      <c r="G6" s="7">
        <f>SUMIFS(tblProjects[project_budget],tblProjects[department_id],A6)</f>
        <v/>
      </c>
    </row>
    <row r="7">
      <c r="A7" t="n">
        <v>3</v>
      </c>
      <c r="B7">
        <f>XLOOKUP(A7,tblDepartments[department_id],tblDepartments[department_name],"Unknown")</f>
        <v/>
      </c>
      <c r="C7">
        <f>COUNTIFS(tblEmployees[department_id],A7)</f>
        <v/>
      </c>
      <c r="D7" s="7">
        <f>IFERROR(AVERAGEIFS(tblEmployees[salary],tblEmployees[department_id],A7),0)</f>
        <v/>
      </c>
      <c r="E7" s="7">
        <f>SUMIFS(tblEmployees[salary],tblEmployees[department_id],A7)</f>
        <v/>
      </c>
      <c r="F7">
        <f>COUNTIFS(tblProjects[department_id],A7)</f>
        <v/>
      </c>
      <c r="G7" s="7">
        <f>SUMIFS(tblProjects[project_budget],tblProjects[department_id],A7)</f>
        <v/>
      </c>
    </row>
    <row r="8">
      <c r="A8" t="n">
        <v>4</v>
      </c>
      <c r="B8">
        <f>XLOOKUP(A8,tblDepartments[department_id],tblDepartments[department_name],"Unknown")</f>
        <v/>
      </c>
      <c r="C8">
        <f>COUNTIFS(tblEmployees[department_id],A8)</f>
        <v/>
      </c>
      <c r="D8" s="7">
        <f>IFERROR(AVERAGEIFS(tblEmployees[salary],tblEmployees[department_id],A8),0)</f>
        <v/>
      </c>
      <c r="E8" s="7">
        <f>SUMIFS(tblEmployees[salary],tblEmployees[department_id],A8)</f>
        <v/>
      </c>
      <c r="F8">
        <f>COUNTIFS(tblProjects[department_id],A8)</f>
        <v/>
      </c>
      <c r="G8" s="7">
        <f>SUMIFS(tblProjects[project_budget],tblProjects[department_id],A8)</f>
        <v/>
      </c>
    </row>
    <row r="9">
      <c r="A9" t="n">
        <v>5</v>
      </c>
      <c r="B9">
        <f>XLOOKUP(A9,tblDepartments[department_id],tblDepartments[department_name],"Unknown")</f>
        <v/>
      </c>
      <c r="C9">
        <f>COUNTIFS(tblEmployees[department_id],A9)</f>
        <v/>
      </c>
      <c r="D9" s="7">
        <f>IFERROR(AVERAGEIFS(tblEmployees[salary],tblEmployees[department_id],A9),0)</f>
        <v/>
      </c>
      <c r="E9" s="7">
        <f>SUMIFS(tblEmployees[salary],tblEmployees[department_id],A9)</f>
        <v/>
      </c>
      <c r="F9">
        <f>COUNTIFS(tblProjects[department_id],A9)</f>
        <v/>
      </c>
      <c r="G9" s="7">
        <f>SUMIFS(tblProjects[project_budget],tblProjects[department_id],A9)</f>
        <v/>
      </c>
    </row>
  </sheetData>
  <autoFilter ref="A1:G9"/>
  <mergeCells count="2">
    <mergeCell ref="A2:G2"/>
    <mergeCell ref="A1:G1"/>
  </mergeCells>
  <conditionalFormatting sqref="D5:D9">
    <cfRule type="colorScale" priority="1">
      <colorScale>
        <cfvo type="min"/>
        <cfvo type="percentile" val="50"/>
        <cfvo type="max"/>
        <color rgb="00F5D9D4"/>
        <color rgb="00F6E9C9"/>
        <color rgb="00BFE3DC"/>
      </colorScale>
    </cfRule>
  </conditionalFormatting>
  <conditionalFormatting sqref="G5:G9">
    <cfRule type="colorScale" priority="2">
      <colorScale>
        <cfvo type="min"/>
        <cfvo type="percentile" val="50"/>
        <cfvo type="max"/>
        <color rgb="00F5D9D4"/>
        <color rgb="00F6E9C9"/>
        <color rgb="00BFE3DC"/>
      </colorScale>
    </cfRule>
  </conditionalFormatting>
  <pageMargins left="0.25" right="0.25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187A78"/>
    <outlinePr summaryBelow="1" summaryRight="1"/>
    <pageSetUpPr fitToPage="1"/>
  </sheetPr>
  <dimension ref="A1:I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9" customWidth="1" min="2" max="2"/>
    <col width="20" customWidth="1" min="3" max="3"/>
    <col width="18" customWidth="1" min="4" max="4"/>
    <col width="16" customWidth="1" min="5" max="5"/>
    <col width="15" customWidth="1" min="6" max="6"/>
    <col width="15" customWidth="1" min="7" max="7"/>
    <col width="25" customWidth="1" min="8" max="8"/>
    <col width="25" customWidth="1" min="9" max="9"/>
  </cols>
  <sheetData>
    <row r="1" ht="34" customHeight="1">
      <c r="A1" s="1" t="inlineStr">
        <is>
          <t>Project Analysis</t>
        </is>
      </c>
    </row>
    <row r="2" ht="30" customHeight="1">
      <c r="A2" s="2" t="inlineStr">
        <is>
          <t>Project fields use projects_cleaned.csv. Duration is derived as End Date - Start Date; status is sourced from the completed/upcoming tables.</t>
        </is>
      </c>
    </row>
    <row r="4" ht="28" customHeight="1">
      <c r="A4" s="8" t="inlineStr">
        <is>
          <t>Project ID</t>
        </is>
      </c>
      <c r="B4" s="8" t="inlineStr">
        <is>
          <t>Project Name</t>
        </is>
      </c>
      <c r="C4" s="8" t="inlineStr">
        <is>
          <t>Department</t>
        </is>
      </c>
      <c r="D4" s="8" t="inlineStr">
        <is>
          <t>Project Budget</t>
        </is>
      </c>
      <c r="E4" s="8" t="inlineStr">
        <is>
          <t>Status</t>
        </is>
      </c>
      <c r="F4" s="8" t="inlineStr">
        <is>
          <t>Start Date</t>
        </is>
      </c>
      <c r="G4" s="8" t="inlineStr">
        <is>
          <t>End Date</t>
        </is>
      </c>
      <c r="H4" s="8" t="inlineStr">
        <is>
          <t>Derived Duration (Days)</t>
        </is>
      </c>
      <c r="I4" s="8" t="inlineStr">
        <is>
          <t>Assigned Employee Count</t>
        </is>
      </c>
    </row>
    <row r="5">
      <c r="A5" t="n">
        <v>201</v>
      </c>
      <c r="B5" t="inlineStr">
        <is>
          <t>Website Overhaul</t>
        </is>
      </c>
      <c r="C5">
        <f>XLOOKUP(A5,tblDepartments[department_id],tblDepartments[department_name],"Unknown")</f>
        <v/>
      </c>
      <c r="D5" s="7" t="n">
        <v>60000</v>
      </c>
      <c r="E5">
        <f>IF(COUNTIF(tblCompletedProjects[project_id],A5)&gt;0,"Completed",IF(COUNTIF(tblUpcomingProjects[project_id],A5)&gt;0,"Upcoming","Unclassified"))</f>
        <v/>
      </c>
      <c r="F5" s="16" t="n">
        <v>45306</v>
      </c>
      <c r="G5" s="16" t="n">
        <v>45838</v>
      </c>
      <c r="H5" s="10">
        <f>G5-F5</f>
        <v/>
      </c>
      <c r="I5">
        <f>COUNTIFS(tblProjectAssignments[project_id],A5)</f>
        <v/>
      </c>
    </row>
    <row r="6">
      <c r="A6" t="n">
        <v>202</v>
      </c>
      <c r="B6" t="inlineStr">
        <is>
          <t>Social Media Strategy</t>
        </is>
      </c>
      <c r="C6">
        <f>XLOOKUP(A6,tblDepartments[department_id],tblDepartments[department_name],"Unknown")</f>
        <v/>
      </c>
      <c r="D6" s="7" t="n">
        <v>45000</v>
      </c>
      <c r="E6">
        <f>IF(COUNTIF(tblCompletedProjects[project_id],A6)&gt;0,"Completed",IF(COUNTIF(tblUpcomingProjects[project_id],A6)&gt;0,"Upcoming","Unclassified"))</f>
        <v/>
      </c>
      <c r="F6" s="16" t="n">
        <v>45342</v>
      </c>
      <c r="G6" s="16" t="n">
        <v>45910</v>
      </c>
      <c r="H6" s="10">
        <f>G6-F6</f>
        <v/>
      </c>
      <c r="I6">
        <f>COUNTIFS(tblProjectAssignments[project_id],A6)</f>
        <v/>
      </c>
    </row>
    <row r="7">
      <c r="A7" t="n">
        <v>203</v>
      </c>
      <c r="B7" t="inlineStr">
        <is>
          <t>Product Launch</t>
        </is>
      </c>
      <c r="C7">
        <f>XLOOKUP(A7,tblDepartments[department_id],tblDepartments[department_name],"Unknown")</f>
        <v/>
      </c>
      <c r="D7" s="7" t="n">
        <v>80000</v>
      </c>
      <c r="E7">
        <f>IF(COUNTIF(tblCompletedProjects[project_id],A7)&gt;0,"Completed",IF(COUNTIF(tblUpcomingProjects[project_id],A7)&gt;0,"Upcoming","Unclassified"))</f>
        <v/>
      </c>
      <c r="F7" s="16" t="n">
        <v>45381</v>
      </c>
      <c r="G7" s="16" t="n">
        <v>46022</v>
      </c>
      <c r="H7" s="10">
        <f>G7-F7</f>
        <v/>
      </c>
      <c r="I7">
        <f>COUNTIFS(tblProjectAssignments[project_id],A7)</f>
        <v/>
      </c>
    </row>
    <row r="8">
      <c r="A8" t="n">
        <v>204</v>
      </c>
      <c r="B8" t="inlineStr">
        <is>
          <t>CRM Integration</t>
        </is>
      </c>
      <c r="C8">
        <f>XLOOKUP(A8,tblDepartments[department_id],tblDepartments[department_name],"Unknown")</f>
        <v/>
      </c>
      <c r="D8" s="7" t="n">
        <v>50000</v>
      </c>
      <c r="E8">
        <f>IF(COUNTIF(tblCompletedProjects[project_id],A8)&gt;0,"Completed",IF(COUNTIF(tblUpcomingProjects[project_id],A8)&gt;0,"Upcoming","Unclassified"))</f>
        <v/>
      </c>
      <c r="F8" s="16" t="n">
        <v>44581</v>
      </c>
      <c r="G8" s="16" t="n">
        <v>44946</v>
      </c>
      <c r="H8" s="10">
        <f>G8-F8</f>
        <v/>
      </c>
      <c r="I8">
        <f>COUNTIFS(tblProjectAssignments[project_id],A8)</f>
        <v/>
      </c>
    </row>
    <row r="9">
      <c r="A9" t="n">
        <v>205</v>
      </c>
      <c r="B9" t="inlineStr">
        <is>
          <t>Brand Repositioning</t>
        </is>
      </c>
      <c r="C9">
        <f>XLOOKUP(A9,tblDepartments[department_id],tblDepartments[department_name],"Unknown")</f>
        <v/>
      </c>
      <c r="D9" s="7" t="n">
        <v>70000</v>
      </c>
      <c r="E9">
        <f>IF(COUNTIF(tblCompletedProjects[project_id],A9)&gt;0,"Completed",IF(COUNTIF(tblUpcomingProjects[project_id],A9)&gt;0,"Upcoming","Unclassified"))</f>
        <v/>
      </c>
      <c r="F9" s="16" t="n">
        <v>44652</v>
      </c>
      <c r="G9" s="16" t="n">
        <v>45017</v>
      </c>
      <c r="H9" s="10">
        <f>G9-F9</f>
        <v/>
      </c>
      <c r="I9">
        <f>COUNTIFS(tblProjectAssignments[project_id],A9)</f>
        <v/>
      </c>
    </row>
    <row r="10">
      <c r="A10" t="n">
        <v>206</v>
      </c>
      <c r="B10" t="inlineStr">
        <is>
          <t>Mobile App Development</t>
        </is>
      </c>
      <c r="C10">
        <f>XLOOKUP(A10,tblDepartments[department_id],tblDepartments[department_name],"Unknown")</f>
        <v/>
      </c>
      <c r="D10" s="7" t="n">
        <v>70000</v>
      </c>
      <c r="E10">
        <f>IF(COUNTIF(tblCompletedProjects[project_id],A10)&gt;0,"Completed",IF(COUNTIF(tblUpcomingProjects[project_id],A10)&gt;0,"Upcoming","Unclassified"))</f>
        <v/>
      </c>
      <c r="F10" s="16" t="n">
        <v>45453</v>
      </c>
      <c r="G10" s="16" t="n">
        <v>45884</v>
      </c>
      <c r="H10" s="10">
        <f>G10-F10</f>
        <v/>
      </c>
      <c r="I10">
        <f>COUNTIFS(tblProjectAssignments[project_id],A10)</f>
        <v/>
      </c>
    </row>
    <row r="11">
      <c r="A11" t="n">
        <v>207</v>
      </c>
      <c r="B11" t="inlineStr">
        <is>
          <t>SEO Optimization</t>
        </is>
      </c>
      <c r="C11">
        <f>XLOOKUP(A11,tblDepartments[department_id],tblDepartments[department_name],"Unknown")</f>
        <v/>
      </c>
      <c r="D11" s="7" t="n">
        <v>50000</v>
      </c>
      <c r="E11">
        <f>IF(COUNTIF(tblCompletedProjects[project_id],A11)&gt;0,"Completed",IF(COUNTIF(tblUpcomingProjects[project_id],A11)&gt;0,"Upcoming","Unclassified"))</f>
        <v/>
      </c>
      <c r="F11" s="16" t="n">
        <v>45505</v>
      </c>
      <c r="G11" s="16" t="n">
        <v>45962</v>
      </c>
      <c r="H11" s="10">
        <f>G11-F11</f>
        <v/>
      </c>
      <c r="I11">
        <f>COUNTIFS(tblProjectAssignments[project_id],A11)</f>
        <v/>
      </c>
    </row>
    <row r="12">
      <c r="A12" t="n">
        <v>208</v>
      </c>
      <c r="B12" t="inlineStr">
        <is>
          <t>Customer Support System</t>
        </is>
      </c>
      <c r="C12">
        <f>XLOOKUP(A12,tblDepartments[department_id],tblDepartments[department_name],"Unknown")</f>
        <v/>
      </c>
      <c r="D12" s="7" t="n">
        <v>55000</v>
      </c>
      <c r="E12">
        <f>IF(COUNTIF(tblCompletedProjects[project_id],A12)&gt;0,"Completed",IF(COUNTIF(tblUpcomingProjects[project_id],A12)&gt;0,"Upcoming","Unclassified"))</f>
        <v/>
      </c>
      <c r="F12" s="16" t="n">
        <v>44910</v>
      </c>
      <c r="G12" s="16" t="n">
        <v>44910</v>
      </c>
      <c r="H12" s="10">
        <f>G12-F12</f>
        <v/>
      </c>
      <c r="I12">
        <f>COUNTIFS(tblProjectAssignments[project_id],A12)</f>
        <v/>
      </c>
    </row>
    <row r="13">
      <c r="A13" t="n">
        <v>209</v>
      </c>
      <c r="B13" t="inlineStr">
        <is>
          <t>Market Research</t>
        </is>
      </c>
      <c r="C13">
        <f>XLOOKUP(A13,tblDepartments[department_id],tblDepartments[department_name],"Unknown")</f>
        <v/>
      </c>
      <c r="D13" s="7" t="n">
        <v>30000</v>
      </c>
      <c r="E13">
        <f>IF(COUNTIF(tblCompletedProjects[project_id],A13)&gt;0,"Completed",IF(COUNTIF(tblUpcomingProjects[project_id],A13)&gt;0,"Upcoming","Unclassified"))</f>
        <v/>
      </c>
      <c r="F13" s="16" t="n">
        <v>44645</v>
      </c>
      <c r="G13" s="16" t="n">
        <v>45010</v>
      </c>
      <c r="H13" s="10">
        <f>G13-F13</f>
        <v/>
      </c>
      <c r="I13">
        <f>COUNTIFS(tblProjectAssignments[project_id],A13)</f>
        <v/>
      </c>
    </row>
    <row r="14">
      <c r="A14" t="n">
        <v>210</v>
      </c>
      <c r="B14" t="inlineStr">
        <is>
          <t>New Marketing Campaign</t>
        </is>
      </c>
      <c r="C14">
        <f>XLOOKUP(A14,tblDepartments[department_id],tblDepartments[department_name],"Unknown")</f>
        <v/>
      </c>
      <c r="D14" s="7" t="n">
        <v>60000</v>
      </c>
      <c r="E14">
        <f>IF(COUNTIF(tblCompletedProjects[project_id],A14)&gt;0,"Completed",IF(COUNTIF(tblUpcomingProjects[project_id],A14)&gt;0,"Upcoming","Unclassified"))</f>
        <v/>
      </c>
      <c r="F14" s="16" t="n">
        <v>45545</v>
      </c>
      <c r="G14" s="16" t="n">
        <v>46001</v>
      </c>
      <c r="H14" s="10">
        <f>G14-F14</f>
        <v/>
      </c>
      <c r="I14">
        <f>COUNTIFS(tblProjectAssignments[project_id],A14)</f>
        <v/>
      </c>
    </row>
  </sheetData>
  <autoFilter ref="A1:I14"/>
  <mergeCells count="2">
    <mergeCell ref="A1:I1"/>
    <mergeCell ref="A2:I2"/>
  </mergeCells>
  <conditionalFormatting sqref="D5:D14">
    <cfRule type="colorScale" priority="1">
      <colorScale>
        <cfvo type="min"/>
        <cfvo type="percentile" val="50"/>
        <cfvo type="max"/>
        <color rgb="00F5D9D4"/>
        <color rgb="00F6E9C9"/>
        <color rgb="00BFE3DC"/>
      </colorScale>
    </cfRule>
  </conditionalFormatting>
  <pageMargins left="0.25" right="0.25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187A78"/>
    <outlinePr summaryBelow="1" summaryRight="1"/>
    <pageSetUpPr fitToPage="1"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3" customWidth="1" min="3" max="3"/>
    <col width="20" customWidth="1" min="4" max="4"/>
    <col width="16" customWidth="1" min="5" max="5"/>
    <col width="25" customWidth="1" min="6" max="6"/>
  </cols>
  <sheetData>
    <row r="1" ht="34" customHeight="1">
      <c r="A1" s="1" t="inlineStr">
        <is>
          <t>Employee Analysis</t>
        </is>
      </c>
    </row>
    <row r="2" ht="30" customHeight="1">
      <c r="A2" s="2" t="inlineStr">
        <is>
          <t>Department names and assigned project counts are lookup/count formulas; salary is the supplied employee salary field.</t>
        </is>
      </c>
    </row>
    <row r="4" ht="28" customHeight="1">
      <c r="A4" s="8" t="inlineStr">
        <is>
          <t>Employee ID</t>
        </is>
      </c>
      <c r="B4" s="8" t="inlineStr">
        <is>
          <t>Employee Name</t>
        </is>
      </c>
      <c r="C4" s="8" t="inlineStr">
        <is>
          <t>Job Title</t>
        </is>
      </c>
      <c r="D4" s="8" t="inlineStr">
        <is>
          <t>Department</t>
        </is>
      </c>
      <c r="E4" s="8" t="inlineStr">
        <is>
          <t>Salary</t>
        </is>
      </c>
      <c r="F4" s="8" t="inlineStr">
        <is>
          <t>Assigned Project Count</t>
        </is>
      </c>
    </row>
    <row r="5">
      <c r="A5" t="n">
        <v>1001</v>
      </c>
      <c r="B5" t="inlineStr">
        <is>
          <t>Liam Brown</t>
        </is>
      </c>
      <c r="C5" t="inlineStr">
        <is>
          <t>Software Engineer</t>
        </is>
      </c>
      <c r="D5">
        <f>XLOOKUP(1,tblDepartments[department_id],tblDepartments[department_name],"Unknown")</f>
        <v/>
      </c>
      <c r="E5" s="7" t="n">
        <v>85000</v>
      </c>
      <c r="F5">
        <f>COUNTIFS(tblProjectAssignments[employee_id],A5)</f>
        <v/>
      </c>
    </row>
    <row r="6">
      <c r="A6" t="n">
        <v>1002</v>
      </c>
      <c r="B6" t="inlineStr">
        <is>
          <t>Emma Taylor</t>
        </is>
      </c>
      <c r="C6" t="inlineStr">
        <is>
          <t>Marketing Manager</t>
        </is>
      </c>
      <c r="D6">
        <f>XLOOKUP(2,tblDepartments[department_id],tblDepartments[department_name],"Unknown")</f>
        <v/>
      </c>
      <c r="E6" s="7" t="n">
        <v>78000</v>
      </c>
      <c r="F6">
        <f>COUNTIFS(tblProjectAssignments[employee_id],A6)</f>
        <v/>
      </c>
    </row>
    <row r="7">
      <c r="A7" t="n">
        <v>1003</v>
      </c>
      <c r="B7" t="inlineStr">
        <is>
          <t>Michael Johnson</t>
        </is>
      </c>
      <c r="C7" t="inlineStr">
        <is>
          <t>Data Scientist</t>
        </is>
      </c>
      <c r="D7">
        <f>XLOOKUP(3,tblDepartments[department_id],tblDepartments[department_name],"Unknown")</f>
        <v/>
      </c>
      <c r="E7" s="7" t="n">
        <v>95000</v>
      </c>
      <c r="F7">
        <f>COUNTIFS(tblProjectAssignments[employee_id],A7)</f>
        <v/>
      </c>
    </row>
    <row r="8">
      <c r="A8" t="n">
        <v>1004</v>
      </c>
      <c r="B8" t="inlineStr">
        <is>
          <t>Emily Brown</t>
        </is>
      </c>
      <c r="C8" t="inlineStr">
        <is>
          <t>HR Manager</t>
        </is>
      </c>
      <c r="D8">
        <f>XLOOKUP(4,tblDepartments[department_id],tblDepartments[department_name],"Unknown")</f>
        <v/>
      </c>
      <c r="E8" s="7" t="n">
        <v>70000</v>
      </c>
      <c r="F8">
        <f>COUNTIFS(tblProjectAssignments[employee_id],A8)</f>
        <v/>
      </c>
    </row>
    <row r="9">
      <c r="A9" t="n">
        <v>1005</v>
      </c>
      <c r="B9" t="inlineStr">
        <is>
          <t>Robert Williams</t>
        </is>
      </c>
      <c r="C9" t="inlineStr">
        <is>
          <t>Sales Executive</t>
        </is>
      </c>
      <c r="D9">
        <f>XLOOKUP(3,tblDepartments[department_id],tblDepartments[department_name],"Unknown")</f>
        <v/>
      </c>
      <c r="E9" s="7" t="n">
        <v>72000</v>
      </c>
      <c r="F9">
        <f>COUNTIFS(tblProjectAssignments[employee_id],A9)</f>
        <v/>
      </c>
    </row>
    <row r="10">
      <c r="A10" t="n">
        <v>1006</v>
      </c>
      <c r="B10" t="inlineStr">
        <is>
          <t>Linda Miller</t>
        </is>
      </c>
      <c r="C10" t="inlineStr">
        <is>
          <t>Operations Manager</t>
        </is>
      </c>
      <c r="D10">
        <f>XLOOKUP(2,tblDepartments[department_id],tblDepartments[department_name],"Unknown")</f>
        <v/>
      </c>
      <c r="E10" s="7" t="n">
        <v>80000</v>
      </c>
      <c r="F10">
        <f>COUNTIFS(tblProjectAssignments[employee_id],A10)</f>
        <v/>
      </c>
    </row>
    <row r="11">
      <c r="A11" t="n">
        <v>1007</v>
      </c>
      <c r="B11" t="inlineStr">
        <is>
          <t>William Jones</t>
        </is>
      </c>
      <c r="C11" t="inlineStr">
        <is>
          <t>Business Analyst</t>
        </is>
      </c>
      <c r="D11">
        <f>XLOOKUP(1,tblDepartments[department_id],tblDepartments[department_name],"Unknown")</f>
        <v/>
      </c>
      <c r="E11" s="7" t="n">
        <v>75000</v>
      </c>
      <c r="F11">
        <f>COUNTIFS(tblProjectAssignments[employee_id],A11)</f>
        <v/>
      </c>
    </row>
    <row r="12">
      <c r="A12" t="n">
        <v>1008</v>
      </c>
      <c r="B12" t="inlineStr">
        <is>
          <t>Sophia Davis</t>
        </is>
      </c>
      <c r="C12" t="inlineStr">
        <is>
          <t>Product Manager</t>
        </is>
      </c>
      <c r="D12">
        <f>XLOOKUP(4,tblDepartments[department_id],tblDepartments[department_name],"Unknown")</f>
        <v/>
      </c>
      <c r="E12" s="7" t="n">
        <v>90000</v>
      </c>
      <c r="F12">
        <f>COUNTIFS(tblProjectAssignments[employee_id],A12)</f>
        <v/>
      </c>
    </row>
    <row r="13">
      <c r="A13" t="n">
        <v>1009</v>
      </c>
      <c r="B13" t="inlineStr">
        <is>
          <t>David Martinez</t>
        </is>
      </c>
      <c r="C13" t="inlineStr">
        <is>
          <t>IT Specialist</t>
        </is>
      </c>
      <c r="D13">
        <f>XLOOKUP(5,tblDepartments[department_id],tblDepartments[department_name],"Unknown")</f>
        <v/>
      </c>
      <c r="E13" s="7" t="n">
        <v>68000</v>
      </c>
      <c r="F13">
        <f>COUNTIFS(tblProjectAssignments[employee_id],A13)</f>
        <v/>
      </c>
    </row>
    <row r="14">
      <c r="A14" t="n">
        <v>1010</v>
      </c>
      <c r="B14" t="inlineStr">
        <is>
          <t>Olivia Wilson</t>
        </is>
      </c>
      <c r="C14" t="inlineStr">
        <is>
          <t>Finance Analyst</t>
        </is>
      </c>
      <c r="D14">
        <f>XLOOKUP(5,tblDepartments[department_id],tblDepartments[department_name],"Unknown")</f>
        <v/>
      </c>
      <c r="E14" s="7" t="n">
        <v>83000</v>
      </c>
      <c r="F14">
        <f>COUNTIFS(tblProjectAssignments[employee_id],A14)</f>
        <v/>
      </c>
    </row>
    <row r="17">
      <c r="A17" s="11" t="inlineStr">
        <is>
          <t>Employees without project assignments</t>
        </is>
      </c>
    </row>
    <row r="18">
      <c r="A18" s="11" t="inlineStr">
        <is>
          <t>Verified result: 0 employees; empty result preserved.</t>
        </is>
      </c>
    </row>
  </sheetData>
  <autoFilter ref="A1:F18"/>
  <mergeCells count="2">
    <mergeCell ref="A2:F2"/>
    <mergeCell ref="A1:F1"/>
  </mergeCells>
  <conditionalFormatting sqref="F5:F14">
    <cfRule type="cellIs" priority="1" operator="equal" dxfId="0">
      <formula>0</formula>
    </cfRule>
  </conditionalFormatting>
  <pageMargins left="0.25" right="0.25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187A78"/>
    <outlinePr summaryBelow="1" summaryRight="1"/>
    <pageSetUpPr fitToPage="1"/>
  </sheetPr>
  <dimension ref="A1:D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43" customWidth="1" min="2" max="2"/>
    <col width="72" customWidth="1" min="3" max="3"/>
    <col width="68" customWidth="1" min="4" max="4"/>
  </cols>
  <sheetData>
    <row r="1" ht="34" customHeight="1">
      <c r="A1" s="1" t="inlineStr">
        <is>
          <t>Data Quality</t>
        </is>
      </c>
    </row>
    <row r="2" ht="30" customHeight="1">
      <c r="A2" s="2" t="inlineStr">
        <is>
          <t>These issues are preserved from the cleaned CSVs. No record or business value was corrected in this report.</t>
        </is>
      </c>
    </row>
    <row r="4" ht="28" customHeight="1">
      <c r="A4" s="8" t="inlineStr">
        <is>
          <t>Issue / Check</t>
        </is>
      </c>
      <c r="B4" s="8" t="inlineStr">
        <is>
          <t>Source</t>
        </is>
      </c>
      <c r="C4" s="8" t="inlineStr">
        <is>
          <t>Evidence</t>
        </is>
      </c>
      <c r="D4" s="8" t="inlineStr">
        <is>
          <t>Handling</t>
        </is>
      </c>
    </row>
    <row r="5" ht="42" customHeight="1">
      <c r="A5" s="12" t="inlineStr">
        <is>
          <t>Sales department employee-count mismatch</t>
        </is>
      </c>
      <c r="B5" s="12" t="inlineStr">
        <is>
          <t>departments_cleaned.csv; employees_cleaned.csv</t>
        </is>
      </c>
      <c r="C5" s="12" t="inlineStr">
        <is>
          <t>Department 3 reports 3 employees; employee rows contain 2 Sales employees.</t>
        </is>
      </c>
      <c r="D5" s="12" t="inlineStr">
        <is>
          <t>Preserved; use the observed count formula and keep the reported value visible in source data.</t>
        </is>
      </c>
    </row>
    <row r="6" ht="42" customHeight="1">
      <c r="A6" s="12" t="inlineStr">
        <is>
          <t>Project 201 department mismatch</t>
        </is>
      </c>
      <c r="B6" s="12" t="inlineStr">
        <is>
          <t>upcoming_projects_cleaned.csv; projects_cleaned.csv</t>
        </is>
      </c>
      <c r="C6" s="12" t="inlineStr">
        <is>
          <t>Upcoming department_id is 5; master projects department_id is 1.</t>
        </is>
      </c>
      <c r="D6" s="12" t="inlineStr">
        <is>
          <t>Preserved; no department is selected as authoritative.</t>
        </is>
      </c>
    </row>
    <row r="7" ht="42" customHeight="1">
      <c r="A7" s="12" t="inlineStr">
        <is>
          <t>Project 204 department mismatch</t>
        </is>
      </c>
      <c r="B7" s="12" t="inlineStr">
        <is>
          <t>completed_projects_cleaned.csv; projects_cleaned.csv</t>
        </is>
      </c>
      <c r="C7" s="12" t="inlineStr">
        <is>
          <t>Completed department_id is 5; master projects department_id is 1.</t>
        </is>
      </c>
      <c r="D7" s="12" t="inlineStr">
        <is>
          <t>Preserved; no department is selected as authoritative.</t>
        </is>
      </c>
    </row>
    <row r="8" ht="42" customHeight="1">
      <c r="A8" s="12" t="inlineStr">
        <is>
          <t>Upcoming project start-date differences</t>
        </is>
      </c>
      <c r="B8" s="12" t="inlineStr">
        <is>
          <t>upcoming_projects_cleaned.csv; projects_cleaned.csv</t>
        </is>
      </c>
      <c r="C8" s="12" t="inlineStr">
        <is>
          <t>All six upcoming project start dates differ from their master project dates by one calendar year.</t>
        </is>
      </c>
      <c r="D8" s="12" t="inlineStr">
        <is>
          <t>Preserved; no source date is overwritten.</t>
        </is>
      </c>
    </row>
    <row r="9" ht="42" customHeight="1">
      <c r="A9" s="12" t="inlineStr">
        <is>
          <t>Upcoming end dates are historical</t>
        </is>
      </c>
      <c r="B9" s="12" t="inlineStr">
        <is>
          <t>upcoming_projects_cleaned.csv; validation date 2026-09-30</t>
        </is>
      </c>
      <c r="C9" s="12" t="inlineStr">
        <is>
          <t>All six upcoming table end dates are before 2026-09-30.</t>
        </is>
      </c>
      <c r="D9" s="12" t="inlineStr">
        <is>
          <t>Status labels are not automatically changed.</t>
        </is>
      </c>
    </row>
    <row r="10" ht="42" customHeight="1">
      <c r="A10" s="13" t="inlineStr">
        <is>
          <t>Missing values</t>
        </is>
      </c>
      <c r="B10" s="13" t="inlineStr">
        <is>
          <t>All six cleaned datasets</t>
        </is>
      </c>
      <c r="C10" s="13" t="inlineStr">
        <is>
          <t>No missing values detected.</t>
        </is>
      </c>
      <c r="D10" s="13" t="inlineStr">
        <is>
          <t>No imputation required.</t>
        </is>
      </c>
    </row>
    <row r="11" ht="42" customHeight="1">
      <c r="A11" s="13" t="inlineStr">
        <is>
          <t>Exact duplicate rows</t>
        </is>
      </c>
      <c r="B11" s="13" t="inlineStr">
        <is>
          <t>All six cleaned datasets</t>
        </is>
      </c>
      <c r="C11" s="13" t="inlineStr">
        <is>
          <t>No exact duplicate rows detected.</t>
        </is>
      </c>
      <c r="D11" s="13" t="inlineStr">
        <is>
          <t>No rows removed.</t>
        </is>
      </c>
    </row>
    <row r="12" ht="42" customHeight="1">
      <c r="A12" s="13" t="inlineStr">
        <is>
          <t>ID references</t>
        </is>
      </c>
      <c r="B12" s="13" t="inlineStr">
        <is>
          <t>All six cleaned datasets</t>
        </is>
      </c>
      <c r="C12" s="13" t="inlineStr">
        <is>
          <t>Checked employee, department, project, and assignment references resolve.</t>
        </is>
      </c>
      <c r="D12" s="13" t="inlineStr">
        <is>
          <t>No ID values changed.</t>
        </is>
      </c>
    </row>
    <row r="13" ht="42" customHeight="1">
      <c r="A13" s="13" t="inlineStr">
        <is>
          <t>Dates</t>
        </is>
      </c>
      <c r="B13" s="13" t="inlineStr">
        <is>
          <t>All six cleaned datasets</t>
        </is>
      </c>
      <c r="C13" s="13" t="inlineStr">
        <is>
          <t>Dates parse successfully; project start dates are on or before end dates.</t>
        </is>
      </c>
      <c r="D13" s="13" t="inlineStr">
        <is>
          <t>Typed as dates in the report source snapshot.</t>
        </is>
      </c>
    </row>
    <row r="14" ht="42" customHeight="1">
      <c r="A14" s="13" t="inlineStr">
        <is>
          <t>Budgets</t>
        </is>
      </c>
      <c r="B14" s="13" t="inlineStr">
        <is>
          <t>Projects and department datasets</t>
        </is>
      </c>
      <c r="C14" s="13" t="inlineStr">
        <is>
          <t>Budget values are numeric and non-negative.</t>
        </is>
      </c>
      <c r="D14" s="13" t="inlineStr">
        <is>
          <t>Displayed as numbers; no currency denomination or actual-spend measure inferred.</t>
        </is>
      </c>
    </row>
  </sheetData>
  <autoFilter ref="A1:D14"/>
  <mergeCells count="2">
    <mergeCell ref="A1:D1"/>
    <mergeCell ref="A2:D2"/>
  </mergeCells>
  <pageMargins left="0.25" right="0.25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187A78"/>
    <outlinePr summaryBelow="1" summaryRight="1"/>
    <pageSetUpPr fitToPage="1"/>
  </sheetPr>
  <dimension ref="A1:E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20" customWidth="1" min="3" max="3"/>
    <col width="75" customWidth="1" min="4" max="4"/>
    <col width="54" customWidth="1" min="5" max="5"/>
  </cols>
  <sheetData>
    <row r="1" ht="34" customHeight="1">
      <c r="A1" s="1" t="inlineStr">
        <is>
          <t>Data Dictionary</t>
        </is>
      </c>
    </row>
    <row r="2" ht="30" customHeight="1">
      <c r="A2" s="2" t="inlineStr">
        <is>
          <t>Field names and descriptions are based on the cleaned CSV schemas and existing project documentation.</t>
        </is>
      </c>
    </row>
    <row r="4" ht="28" customHeight="1">
      <c r="A4" s="8" t="inlineStr">
        <is>
          <t>Dataset</t>
        </is>
      </c>
      <c r="B4" s="8" t="inlineStr">
        <is>
          <t>Column</t>
        </is>
      </c>
      <c r="C4" s="8" t="inlineStr">
        <is>
          <t>Data Type</t>
        </is>
      </c>
      <c r="D4" s="8" t="inlineStr">
        <is>
          <t>Description</t>
        </is>
      </c>
      <c r="E4" s="8" t="inlineStr">
        <is>
          <t>Source</t>
        </is>
      </c>
    </row>
    <row r="5">
      <c r="A5" s="17" t="inlineStr">
        <is>
          <t>employees_cleaned.csv</t>
        </is>
      </c>
      <c r="B5" s="17" t="inlineStr">
        <is>
          <t>employee_id</t>
        </is>
      </c>
      <c r="C5" s="17" t="inlineStr">
        <is>
          <t>Whole number</t>
        </is>
      </c>
      <c r="D5" s="13" t="inlineStr">
        <is>
          <t>Unique employee identifier.</t>
        </is>
      </c>
      <c r="E5" s="17" t="inlineStr">
        <is>
          <t>data/cleaned/employees_cleaned.csv</t>
        </is>
      </c>
    </row>
    <row r="6">
      <c r="A6" s="17" t="inlineStr">
        <is>
          <t>employees_cleaned.csv</t>
        </is>
      </c>
      <c r="B6" s="17" t="inlineStr">
        <is>
          <t>first_name</t>
        </is>
      </c>
      <c r="C6" s="17" t="inlineStr">
        <is>
          <t>Text</t>
        </is>
      </c>
      <c r="D6" s="13" t="inlineStr">
        <is>
          <t>Employee first name as supplied.</t>
        </is>
      </c>
      <c r="E6" s="17" t="inlineStr">
        <is>
          <t>data/cleaned/employees_cleaned.csv</t>
        </is>
      </c>
    </row>
    <row r="7">
      <c r="A7" s="17" t="inlineStr">
        <is>
          <t>employees_cleaned.csv</t>
        </is>
      </c>
      <c r="B7" s="17" t="inlineStr">
        <is>
          <t>last_name</t>
        </is>
      </c>
      <c r="C7" s="17" t="inlineStr">
        <is>
          <t>Text</t>
        </is>
      </c>
      <c r="D7" s="13" t="inlineStr">
        <is>
          <t>Employee last name as supplied.</t>
        </is>
      </c>
      <c r="E7" s="17" t="inlineStr">
        <is>
          <t>data/cleaned/employees_cleaned.csv</t>
        </is>
      </c>
    </row>
    <row r="8">
      <c r="A8" s="17" t="inlineStr">
        <is>
          <t>employees_cleaned.csv</t>
        </is>
      </c>
      <c r="B8" s="17" t="inlineStr">
        <is>
          <t>email</t>
        </is>
      </c>
      <c r="C8" s="17" t="inlineStr">
        <is>
          <t>Text</t>
        </is>
      </c>
      <c r="D8" s="13" t="inlineStr">
        <is>
          <t>Employee email address as supplied.</t>
        </is>
      </c>
      <c r="E8" s="17" t="inlineStr">
        <is>
          <t>data/cleaned/employees_cleaned.csv</t>
        </is>
      </c>
    </row>
    <row r="9">
      <c r="A9" s="17" t="inlineStr">
        <is>
          <t>employees_cleaned.csv</t>
        </is>
      </c>
      <c r="B9" s="17" t="inlineStr">
        <is>
          <t>job_title</t>
        </is>
      </c>
      <c r="C9" s="17" t="inlineStr">
        <is>
          <t>Text</t>
        </is>
      </c>
      <c r="D9" s="13" t="inlineStr">
        <is>
          <t>Employee job title as supplied.</t>
        </is>
      </c>
      <c r="E9" s="17" t="inlineStr">
        <is>
          <t>data/cleaned/employees_cleaned.csv</t>
        </is>
      </c>
    </row>
    <row r="10">
      <c r="A10" s="17" t="inlineStr">
        <is>
          <t>employees_cleaned.csv</t>
        </is>
      </c>
      <c r="B10" s="17" t="inlineStr">
        <is>
          <t>salary</t>
        </is>
      </c>
      <c r="C10" s="17" t="inlineStr">
        <is>
          <t>Number</t>
        </is>
      </c>
      <c r="D10" s="13" t="inlineStr">
        <is>
          <t>Employee salary value as supplied; no currency unit is specified.</t>
        </is>
      </c>
      <c r="E10" s="17" t="inlineStr">
        <is>
          <t>data/cleaned/employees_cleaned.csv</t>
        </is>
      </c>
    </row>
    <row r="11">
      <c r="A11" s="17" t="inlineStr">
        <is>
          <t>employees_cleaned.csv</t>
        </is>
      </c>
      <c r="B11" s="17" t="inlineStr">
        <is>
          <t>hire_date</t>
        </is>
      </c>
      <c r="C11" s="17" t="inlineStr">
        <is>
          <t>Date</t>
        </is>
      </c>
      <c r="D11" s="13" t="inlineStr">
        <is>
          <t>Employee hire date.</t>
        </is>
      </c>
      <c r="E11" s="17" t="inlineStr">
        <is>
          <t>data/cleaned/employees_cleaned.csv</t>
        </is>
      </c>
    </row>
    <row r="12">
      <c r="A12" s="17" t="inlineStr">
        <is>
          <t>employees_cleaned.csv</t>
        </is>
      </c>
      <c r="B12" s="17" t="inlineStr">
        <is>
          <t>department_id</t>
        </is>
      </c>
      <c r="C12" s="17" t="inlineStr">
        <is>
          <t>Whole number</t>
        </is>
      </c>
      <c r="D12" s="13" t="inlineStr">
        <is>
          <t>Department identifier used by this row.</t>
        </is>
      </c>
      <c r="E12" s="17" t="inlineStr">
        <is>
          <t>data/cleaned/employees_cleaned.csv</t>
        </is>
      </c>
    </row>
    <row r="13">
      <c r="A13" s="17" t="inlineStr">
        <is>
          <t>departments_cleaned.csv</t>
        </is>
      </c>
      <c r="B13" s="17" t="inlineStr">
        <is>
          <t>department_id</t>
        </is>
      </c>
      <c r="C13" s="17" t="inlineStr">
        <is>
          <t>Whole number</t>
        </is>
      </c>
      <c r="D13" s="13" t="inlineStr">
        <is>
          <t>Department identifier used by this row.</t>
        </is>
      </c>
      <c r="E13" s="17" t="inlineStr">
        <is>
          <t>data/cleaned/departments_cleaned.csv</t>
        </is>
      </c>
    </row>
    <row r="14">
      <c r="A14" s="17" t="inlineStr">
        <is>
          <t>departments_cleaned.csv</t>
        </is>
      </c>
      <c r="B14" s="17" t="inlineStr">
        <is>
          <t>department_name</t>
        </is>
      </c>
      <c r="C14" s="17" t="inlineStr">
        <is>
          <t>Text</t>
        </is>
      </c>
      <c r="D14" s="13" t="inlineStr">
        <is>
          <t>Department name as supplied.</t>
        </is>
      </c>
      <c r="E14" s="17" t="inlineStr">
        <is>
          <t>data/cleaned/departments_cleaned.csv</t>
        </is>
      </c>
    </row>
    <row r="15">
      <c r="A15" s="17" t="inlineStr">
        <is>
          <t>departments_cleaned.csv</t>
        </is>
      </c>
      <c r="B15" s="17" t="inlineStr">
        <is>
          <t>department_budget</t>
        </is>
      </c>
      <c r="C15" s="17" t="inlineStr">
        <is>
          <t>Number</t>
        </is>
      </c>
      <c r="D15" s="13" t="inlineStr">
        <is>
          <t>Department budget value as supplied; not actual spending.</t>
        </is>
      </c>
      <c r="E15" s="17" t="inlineStr">
        <is>
          <t>data/cleaned/departments_cleaned.csv</t>
        </is>
      </c>
    </row>
    <row r="16">
      <c r="A16" s="17" t="inlineStr">
        <is>
          <t>departments_cleaned.csv</t>
        </is>
      </c>
      <c r="B16" s="17" t="inlineStr">
        <is>
          <t>head_of_department</t>
        </is>
      </c>
      <c r="C16" s="17" t="inlineStr">
        <is>
          <t>Text</t>
        </is>
      </c>
      <c r="D16" s="13" t="inlineStr">
        <is>
          <t>Department head name as supplied.</t>
        </is>
      </c>
      <c r="E16" s="17" t="inlineStr">
        <is>
          <t>data/cleaned/departments_cleaned.csv</t>
        </is>
      </c>
    </row>
    <row r="17">
      <c r="A17" s="17" t="inlineStr">
        <is>
          <t>departments_cleaned.csv</t>
        </is>
      </c>
      <c r="B17" s="17" t="inlineStr">
        <is>
          <t>number_of_employees</t>
        </is>
      </c>
      <c r="C17" s="17" t="inlineStr">
        <is>
          <t>Whole number</t>
        </is>
      </c>
      <c r="D17" s="13" t="inlineStr">
        <is>
          <t>Reported department employee count; differs from employee rows for Sales.</t>
        </is>
      </c>
      <c r="E17" s="17" t="inlineStr">
        <is>
          <t>data/cleaned/departments_cleaned.csv</t>
        </is>
      </c>
    </row>
    <row r="18">
      <c r="A18" s="17" t="inlineStr">
        <is>
          <t>departments_cleaned.csv</t>
        </is>
      </c>
      <c r="B18" s="17" t="inlineStr">
        <is>
          <t>department_goals</t>
        </is>
      </c>
      <c r="C18" s="17" t="inlineStr">
        <is>
          <t>Text</t>
        </is>
      </c>
      <c r="D18" s="13" t="inlineStr">
        <is>
          <t>Department goals text as supplied.</t>
        </is>
      </c>
      <c r="E18" s="17" t="inlineStr">
        <is>
          <t>data/cleaned/departments_cleaned.csv</t>
        </is>
      </c>
    </row>
    <row r="19">
      <c r="A19" s="17" t="inlineStr">
        <is>
          <t>departments_cleaned.csv</t>
        </is>
      </c>
      <c r="B19" s="17" t="inlineStr">
        <is>
          <t>location</t>
        </is>
      </c>
      <c r="C19" s="17" t="inlineStr">
        <is>
          <t>Text</t>
        </is>
      </c>
      <c r="D19" s="13" t="inlineStr">
        <is>
          <t>Department location as supplied.</t>
        </is>
      </c>
      <c r="E19" s="17" t="inlineStr">
        <is>
          <t>data/cleaned/departments_cleaned.csv</t>
        </is>
      </c>
    </row>
    <row r="20">
      <c r="A20" s="17" t="inlineStr">
        <is>
          <t>projects_cleaned.csv</t>
        </is>
      </c>
      <c r="B20" s="17" t="inlineStr">
        <is>
          <t>project_id</t>
        </is>
      </c>
      <c r="C20" s="17" t="inlineStr">
        <is>
          <t>Whole number</t>
        </is>
      </c>
      <c r="D20" s="13" t="inlineStr">
        <is>
          <t>Project identifier.</t>
        </is>
      </c>
      <c r="E20" s="17" t="inlineStr">
        <is>
          <t>data/cleaned/projects_cleaned.csv</t>
        </is>
      </c>
    </row>
    <row r="21">
      <c r="A21" s="17" t="inlineStr">
        <is>
          <t>projects_cleaned.csv</t>
        </is>
      </c>
      <c r="B21" s="17" t="inlineStr">
        <is>
          <t>project_name</t>
        </is>
      </c>
      <c r="C21" s="17" t="inlineStr">
        <is>
          <t>Text</t>
        </is>
      </c>
      <c r="D21" s="13" t="inlineStr">
        <is>
          <t>Project name as supplied.</t>
        </is>
      </c>
      <c r="E21" s="17" t="inlineStr">
        <is>
          <t>data/cleaned/projects_cleaned.csv</t>
        </is>
      </c>
    </row>
    <row r="22">
      <c r="A22" s="17" t="inlineStr">
        <is>
          <t>projects_cleaned.csv</t>
        </is>
      </c>
      <c r="B22" s="17" t="inlineStr">
        <is>
          <t>project_budget</t>
        </is>
      </c>
      <c r="C22" s="17" t="inlineStr">
        <is>
          <t>Number</t>
        </is>
      </c>
      <c r="D22" s="13" t="inlineStr">
        <is>
          <t>Recorded project budget; not actual spending, revenue, or profit.</t>
        </is>
      </c>
      <c r="E22" s="17" t="inlineStr">
        <is>
          <t>data/cleaned/projects_cleaned.csv</t>
        </is>
      </c>
    </row>
    <row r="23">
      <c r="A23" s="17" t="inlineStr">
        <is>
          <t>projects_cleaned.csv</t>
        </is>
      </c>
      <c r="B23" s="17" t="inlineStr">
        <is>
          <t>start_date</t>
        </is>
      </c>
      <c r="C23" s="17" t="inlineStr">
        <is>
          <t>Date</t>
        </is>
      </c>
      <c r="D23" s="13" t="inlineStr">
        <is>
          <t>Master project start date.</t>
        </is>
      </c>
      <c r="E23" s="17" t="inlineStr">
        <is>
          <t>data/cleaned/projects_cleaned.csv</t>
        </is>
      </c>
    </row>
    <row r="24">
      <c r="A24" s="17" t="inlineStr">
        <is>
          <t>projects_cleaned.csv</t>
        </is>
      </c>
      <c r="B24" s="17" t="inlineStr">
        <is>
          <t>end_date</t>
        </is>
      </c>
      <c r="C24" s="17" t="inlineStr">
        <is>
          <t>Date</t>
        </is>
      </c>
      <c r="D24" s="13" t="inlineStr">
        <is>
          <t>Master project end date.</t>
        </is>
      </c>
      <c r="E24" s="17" t="inlineStr">
        <is>
          <t>data/cleaned/projects_cleaned.csv</t>
        </is>
      </c>
    </row>
    <row r="25">
      <c r="A25" s="17" t="inlineStr">
        <is>
          <t>projects_cleaned.csv</t>
        </is>
      </c>
      <c r="B25" s="17" t="inlineStr">
        <is>
          <t>department_id</t>
        </is>
      </c>
      <c r="C25" s="17" t="inlineStr">
        <is>
          <t>Whole number</t>
        </is>
      </c>
      <c r="D25" s="13" t="inlineStr">
        <is>
          <t>Department identifier used by this row.</t>
        </is>
      </c>
      <c r="E25" s="17" t="inlineStr">
        <is>
          <t>data/cleaned/projects_cleaned.csv</t>
        </is>
      </c>
    </row>
    <row r="26">
      <c r="A26" s="17" t="inlineStr">
        <is>
          <t>project_assignments_cleaned.csv</t>
        </is>
      </c>
      <c r="B26" s="17" t="inlineStr">
        <is>
          <t>assignment_id</t>
        </is>
      </c>
      <c r="C26" s="17" t="inlineStr">
        <is>
          <t>Whole number</t>
        </is>
      </c>
      <c r="D26" s="13" t="inlineStr">
        <is>
          <t>Project assignment row identifier.</t>
        </is>
      </c>
      <c r="E26" s="17" t="inlineStr">
        <is>
          <t>data/cleaned/project_assignments_cleaned.csv</t>
        </is>
      </c>
    </row>
    <row r="27">
      <c r="A27" s="17" t="inlineStr">
        <is>
          <t>project_assignments_cleaned.csv</t>
        </is>
      </c>
      <c r="B27" s="17" t="inlineStr">
        <is>
          <t>employee_id</t>
        </is>
      </c>
      <c r="C27" s="17" t="inlineStr">
        <is>
          <t>Whole number</t>
        </is>
      </c>
      <c r="D27" s="13" t="inlineStr">
        <is>
          <t>Unique employee identifier.</t>
        </is>
      </c>
      <c r="E27" s="17" t="inlineStr">
        <is>
          <t>data/cleaned/project_assignments_cleaned.csv</t>
        </is>
      </c>
    </row>
    <row r="28">
      <c r="A28" s="17" t="inlineStr">
        <is>
          <t>project_assignments_cleaned.csv</t>
        </is>
      </c>
      <c r="B28" s="17" t="inlineStr">
        <is>
          <t>project_id</t>
        </is>
      </c>
      <c r="C28" s="17" t="inlineStr">
        <is>
          <t>Whole number</t>
        </is>
      </c>
      <c r="D28" s="13" t="inlineStr">
        <is>
          <t>Project identifier.</t>
        </is>
      </c>
      <c r="E28" s="17" t="inlineStr">
        <is>
          <t>data/cleaned/project_assignments_cleaned.csv</t>
        </is>
      </c>
    </row>
    <row r="29">
      <c r="A29" s="17" t="inlineStr">
        <is>
          <t>completed_projects_cleaned.csv</t>
        </is>
      </c>
      <c r="B29" s="17" t="inlineStr">
        <is>
          <t>project_id</t>
        </is>
      </c>
      <c r="C29" s="17" t="inlineStr">
        <is>
          <t>Whole number</t>
        </is>
      </c>
      <c r="D29" s="13" t="inlineStr">
        <is>
          <t>Project identifier.</t>
        </is>
      </c>
      <c r="E29" s="17" t="inlineStr">
        <is>
          <t>data/cleaned/completed_projects_cleaned.csv</t>
        </is>
      </c>
    </row>
    <row r="30">
      <c r="A30" s="17" t="inlineStr">
        <is>
          <t>completed_projects_cleaned.csv</t>
        </is>
      </c>
      <c r="B30" s="17" t="inlineStr">
        <is>
          <t>project_name</t>
        </is>
      </c>
      <c r="C30" s="17" t="inlineStr">
        <is>
          <t>Text</t>
        </is>
      </c>
      <c r="D30" s="13" t="inlineStr">
        <is>
          <t>Project name as supplied.</t>
        </is>
      </c>
      <c r="E30" s="17" t="inlineStr">
        <is>
          <t>data/cleaned/completed_projects_cleaned.csv</t>
        </is>
      </c>
    </row>
    <row r="31">
      <c r="A31" s="17" t="inlineStr">
        <is>
          <t>completed_projects_cleaned.csv</t>
        </is>
      </c>
      <c r="B31" s="17" t="inlineStr">
        <is>
          <t>project_budget</t>
        </is>
      </c>
      <c r="C31" s="17" t="inlineStr">
        <is>
          <t>Number</t>
        </is>
      </c>
      <c r="D31" s="13" t="inlineStr">
        <is>
          <t>Recorded project budget; not actual spending, revenue, or profit.</t>
        </is>
      </c>
      <c r="E31" s="17" t="inlineStr">
        <is>
          <t>data/cleaned/completed_projects_cleaned.csv</t>
        </is>
      </c>
    </row>
    <row r="32">
      <c r="A32" s="17" t="inlineStr">
        <is>
          <t>completed_projects_cleaned.csv</t>
        </is>
      </c>
      <c r="B32" s="17" t="inlineStr">
        <is>
          <t>project_start_date</t>
        </is>
      </c>
      <c r="C32" s="17" t="inlineStr">
        <is>
          <t>Date</t>
        </is>
      </c>
      <c r="D32" s="13" t="inlineStr">
        <is>
          <t>Start date recorded in the completed/upcoming status table.</t>
        </is>
      </c>
      <c r="E32" s="17" t="inlineStr">
        <is>
          <t>data/cleaned/completed_projects_cleaned.csv</t>
        </is>
      </c>
    </row>
    <row r="33">
      <c r="A33" s="17" t="inlineStr">
        <is>
          <t>completed_projects_cleaned.csv</t>
        </is>
      </c>
      <c r="B33" s="17" t="inlineStr">
        <is>
          <t>project_end_date</t>
        </is>
      </c>
      <c r="C33" s="17" t="inlineStr">
        <is>
          <t>Date</t>
        </is>
      </c>
      <c r="D33" s="13" t="inlineStr">
        <is>
          <t>End date recorded in the completed/upcoming status table.</t>
        </is>
      </c>
      <c r="E33" s="17" t="inlineStr">
        <is>
          <t>data/cleaned/completed_projects_cleaned.csv</t>
        </is>
      </c>
    </row>
    <row r="34">
      <c r="A34" s="17" t="inlineStr">
        <is>
          <t>completed_projects_cleaned.csv</t>
        </is>
      </c>
      <c r="B34" s="17" t="inlineStr">
        <is>
          <t>department_id</t>
        </is>
      </c>
      <c r="C34" s="17" t="inlineStr">
        <is>
          <t>Whole number</t>
        </is>
      </c>
      <c r="D34" s="13" t="inlineStr">
        <is>
          <t>Department identifier used by this row.</t>
        </is>
      </c>
      <c r="E34" s="17" t="inlineStr">
        <is>
          <t>data/cleaned/completed_projects_cleaned.csv</t>
        </is>
      </c>
    </row>
    <row r="35">
      <c r="A35" s="17" t="inlineStr">
        <is>
          <t>upcoming_projects_cleaned.csv</t>
        </is>
      </c>
      <c r="B35" s="17" t="inlineStr">
        <is>
          <t>project_id</t>
        </is>
      </c>
      <c r="C35" s="17" t="inlineStr">
        <is>
          <t>Whole number</t>
        </is>
      </c>
      <c r="D35" s="13" t="inlineStr">
        <is>
          <t>Project identifier.</t>
        </is>
      </c>
      <c r="E35" s="17" t="inlineStr">
        <is>
          <t>data/cleaned/upcoming_projects_cleaned.csv</t>
        </is>
      </c>
    </row>
    <row r="36">
      <c r="A36" s="17" t="inlineStr">
        <is>
          <t>upcoming_projects_cleaned.csv</t>
        </is>
      </c>
      <c r="B36" s="17" t="inlineStr">
        <is>
          <t>project_name</t>
        </is>
      </c>
      <c r="C36" s="17" t="inlineStr">
        <is>
          <t>Text</t>
        </is>
      </c>
      <c r="D36" s="13" t="inlineStr">
        <is>
          <t>Project name as supplied.</t>
        </is>
      </c>
      <c r="E36" s="17" t="inlineStr">
        <is>
          <t>data/cleaned/upcoming_projects_cleaned.csv</t>
        </is>
      </c>
    </row>
    <row r="37">
      <c r="A37" s="17" t="inlineStr">
        <is>
          <t>upcoming_projects_cleaned.csv</t>
        </is>
      </c>
      <c r="B37" s="17" t="inlineStr">
        <is>
          <t>project_budget</t>
        </is>
      </c>
      <c r="C37" s="17" t="inlineStr">
        <is>
          <t>Number</t>
        </is>
      </c>
      <c r="D37" s="13" t="inlineStr">
        <is>
          <t>Recorded project budget; not actual spending, revenue, or profit.</t>
        </is>
      </c>
      <c r="E37" s="17" t="inlineStr">
        <is>
          <t>data/cleaned/upcoming_projects_cleaned.csv</t>
        </is>
      </c>
    </row>
    <row r="38">
      <c r="A38" s="17" t="inlineStr">
        <is>
          <t>upcoming_projects_cleaned.csv</t>
        </is>
      </c>
      <c r="B38" s="17" t="inlineStr">
        <is>
          <t>project_start_date</t>
        </is>
      </c>
      <c r="C38" s="17" t="inlineStr">
        <is>
          <t>Date</t>
        </is>
      </c>
      <c r="D38" s="13" t="inlineStr">
        <is>
          <t>Start date recorded in the completed/upcoming status table.</t>
        </is>
      </c>
      <c r="E38" s="17" t="inlineStr">
        <is>
          <t>data/cleaned/upcoming_projects_cleaned.csv</t>
        </is>
      </c>
    </row>
    <row r="39">
      <c r="A39" s="17" t="inlineStr">
        <is>
          <t>upcoming_projects_cleaned.csv</t>
        </is>
      </c>
      <c r="B39" s="17" t="inlineStr">
        <is>
          <t>project_end_date</t>
        </is>
      </c>
      <c r="C39" s="17" t="inlineStr">
        <is>
          <t>Date</t>
        </is>
      </c>
      <c r="D39" s="13" t="inlineStr">
        <is>
          <t>End date recorded in the completed/upcoming status table.</t>
        </is>
      </c>
      <c r="E39" s="17" t="inlineStr">
        <is>
          <t>data/cleaned/upcoming_projects_cleaned.csv</t>
        </is>
      </c>
    </row>
    <row r="40">
      <c r="A40" s="17" t="inlineStr">
        <is>
          <t>upcoming_projects_cleaned.csv</t>
        </is>
      </c>
      <c r="B40" s="17" t="inlineStr">
        <is>
          <t>department_id</t>
        </is>
      </c>
      <c r="C40" s="17" t="inlineStr">
        <is>
          <t>Whole number</t>
        </is>
      </c>
      <c r="D40" s="13" t="inlineStr">
        <is>
          <t>Department identifier used by this row.</t>
        </is>
      </c>
      <c r="E40" s="17" t="inlineStr">
        <is>
          <t>data/cleaned/upcoming_projects_cleaned.csv</t>
        </is>
      </c>
    </row>
    <row r="41">
      <c r="A41" s="17" t="inlineStr">
        <is>
          <t>upcoming_projects_cleaned.csv</t>
        </is>
      </c>
      <c r="B41" s="17" t="inlineStr">
        <is>
          <t>project_lead</t>
        </is>
      </c>
      <c r="C41" s="17" t="inlineStr">
        <is>
          <t>Text</t>
        </is>
      </c>
      <c r="D41" s="13" t="inlineStr">
        <is>
          <t>Project lead name as supplied; no employee ID is present in this field.</t>
        </is>
      </c>
      <c r="E41" s="17" t="inlineStr">
        <is>
          <t>data/cleaned/upcoming_projects_cleaned.csv</t>
        </is>
      </c>
    </row>
  </sheetData>
  <autoFilter ref="A1:E16"/>
  <mergeCells count="2">
    <mergeCell ref="A2:E2"/>
    <mergeCell ref="A1:E1"/>
  </mergeCells>
  <pageMargins left="0.25" right="0.25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3"/>
  <sheetViews>
    <sheetView showGridLines="0" workbookViewId="0">
      <selection activeCell="A1" sqref="A1"/>
    </sheetView>
  </sheetViews>
  <sheetFormatPr baseColWidth="8" defaultRowHeight="15"/>
  <sheetData>
    <row r="1">
      <c r="A1" s="14" t="inlineStr">
        <is>
          <t>Static source snapshot from data/cleaned; do not treat as live Power Query output.</t>
        </is>
      </c>
    </row>
    <row r="3">
      <c r="A3" t="inlineStr">
        <is>
          <t>employee_id</t>
        </is>
      </c>
      <c r="B3" t="inlineStr">
        <is>
          <t>first_name</t>
        </is>
      </c>
      <c r="C3" t="inlineStr">
        <is>
          <t>last_name</t>
        </is>
      </c>
      <c r="D3" t="inlineStr">
        <is>
          <t>email</t>
        </is>
      </c>
      <c r="E3" t="inlineStr">
        <is>
          <t>job_title</t>
        </is>
      </c>
      <c r="F3" t="inlineStr">
        <is>
          <t>salary</t>
        </is>
      </c>
      <c r="G3" t="inlineStr">
        <is>
          <t>hire_date</t>
        </is>
      </c>
      <c r="H3" t="inlineStr">
        <is>
          <t>department_id</t>
        </is>
      </c>
    </row>
    <row r="4">
      <c r="A4" t="n">
        <v>1001</v>
      </c>
      <c r="B4" t="inlineStr">
        <is>
          <t>Liam</t>
        </is>
      </c>
      <c r="C4" t="inlineStr">
        <is>
          <t>Brown</t>
        </is>
      </c>
      <c r="D4" t="inlineStr">
        <is>
          <t>john.doe@example.com</t>
        </is>
      </c>
      <c r="E4" t="inlineStr">
        <is>
          <t>Software Engineer</t>
        </is>
      </c>
      <c r="F4" t="n">
        <v>85000</v>
      </c>
      <c r="G4" s="16" t="n">
        <v>43232</v>
      </c>
      <c r="H4" t="n">
        <v>1</v>
      </c>
    </row>
    <row r="5">
      <c r="A5" t="n">
        <v>1002</v>
      </c>
      <c r="B5" t="inlineStr">
        <is>
          <t>Emma</t>
        </is>
      </c>
      <c r="C5" t="inlineStr">
        <is>
          <t>Taylor</t>
        </is>
      </c>
      <c r="D5" t="inlineStr">
        <is>
          <t>jane.smith@example.com</t>
        </is>
      </c>
      <c r="E5" t="inlineStr">
        <is>
          <t>Marketing Manager</t>
        </is>
      </c>
      <c r="F5" t="n">
        <v>78000</v>
      </c>
      <c r="G5" s="16" t="n">
        <v>43900</v>
      </c>
      <c r="H5" t="n">
        <v>2</v>
      </c>
    </row>
    <row r="6">
      <c r="A6" t="n">
        <v>1003</v>
      </c>
      <c r="B6" t="inlineStr">
        <is>
          <t>Michael</t>
        </is>
      </c>
      <c r="C6" t="inlineStr">
        <is>
          <t>Johnson</t>
        </is>
      </c>
      <c r="D6" t="inlineStr">
        <is>
          <t>michael.johnson@example.com</t>
        </is>
      </c>
      <c r="E6" t="inlineStr">
        <is>
          <t>Data Scientist</t>
        </is>
      </c>
      <c r="F6" t="n">
        <v>95000</v>
      </c>
      <c r="G6" s="16" t="n">
        <v>42614</v>
      </c>
      <c r="H6" t="n">
        <v>3</v>
      </c>
    </row>
    <row r="7">
      <c r="A7" t="n">
        <v>1004</v>
      </c>
      <c r="B7" t="inlineStr">
        <is>
          <t>Emily</t>
        </is>
      </c>
      <c r="C7" t="inlineStr">
        <is>
          <t>Brown</t>
        </is>
      </c>
      <c r="D7" t="inlineStr">
        <is>
          <t>emily.brown@example.com</t>
        </is>
      </c>
      <c r="E7" t="inlineStr">
        <is>
          <t>HR Manager</t>
        </is>
      </c>
      <c r="F7" t="n">
        <v>70000</v>
      </c>
      <c r="G7" s="16" t="n">
        <v>43661</v>
      </c>
      <c r="H7" t="n">
        <v>4</v>
      </c>
    </row>
    <row r="8">
      <c r="A8" t="n">
        <v>1005</v>
      </c>
      <c r="B8" t="inlineStr">
        <is>
          <t>Robert</t>
        </is>
      </c>
      <c r="C8" t="inlineStr">
        <is>
          <t>Williams</t>
        </is>
      </c>
      <c r="D8" t="inlineStr">
        <is>
          <t>robert.williams@example.com</t>
        </is>
      </c>
      <c r="E8" t="inlineStr">
        <is>
          <t>Sales Executive</t>
        </is>
      </c>
      <c r="F8" t="n">
        <v>72000</v>
      </c>
      <c r="G8" s="16" t="n">
        <v>43059</v>
      </c>
      <c r="H8" t="n">
        <v>3</v>
      </c>
    </row>
    <row r="9">
      <c r="A9" t="n">
        <v>1006</v>
      </c>
      <c r="B9" t="inlineStr">
        <is>
          <t>Linda</t>
        </is>
      </c>
      <c r="C9" t="inlineStr">
        <is>
          <t>Miller</t>
        </is>
      </c>
      <c r="D9" t="inlineStr">
        <is>
          <t>linda.miller@example.com</t>
        </is>
      </c>
      <c r="E9" t="inlineStr">
        <is>
          <t>Operations Manager</t>
        </is>
      </c>
      <c r="F9" t="n">
        <v>80000</v>
      </c>
      <c r="G9" s="16" t="n">
        <v>42009</v>
      </c>
      <c r="H9" t="n">
        <v>2</v>
      </c>
    </row>
    <row r="10">
      <c r="A10" t="n">
        <v>1007</v>
      </c>
      <c r="B10" t="inlineStr">
        <is>
          <t>William</t>
        </is>
      </c>
      <c r="C10" t="inlineStr">
        <is>
          <t>Jones</t>
        </is>
      </c>
      <c r="D10" t="inlineStr">
        <is>
          <t>william.jones@example.com</t>
        </is>
      </c>
      <c r="E10" t="inlineStr">
        <is>
          <t>Business Analyst</t>
        </is>
      </c>
      <c r="F10" t="n">
        <v>75000</v>
      </c>
      <c r="G10" s="16" t="n">
        <v>44369</v>
      </c>
      <c r="H10" t="n">
        <v>1</v>
      </c>
    </row>
    <row r="11">
      <c r="A11" t="n">
        <v>1008</v>
      </c>
      <c r="B11" t="inlineStr">
        <is>
          <t>Sophia</t>
        </is>
      </c>
      <c r="C11" t="inlineStr">
        <is>
          <t>Davis</t>
        </is>
      </c>
      <c r="D11" t="inlineStr">
        <is>
          <t>sophia.davis@example.com</t>
        </is>
      </c>
      <c r="E11" t="inlineStr">
        <is>
          <t>Product Manager</t>
        </is>
      </c>
      <c r="F11" t="n">
        <v>90000</v>
      </c>
      <c r="G11" s="16" t="n">
        <v>43442</v>
      </c>
      <c r="H11" t="n">
        <v>4</v>
      </c>
    </row>
    <row r="12">
      <c r="A12" t="n">
        <v>1009</v>
      </c>
      <c r="B12" t="inlineStr">
        <is>
          <t>David</t>
        </is>
      </c>
      <c r="C12" t="inlineStr">
        <is>
          <t>Martinez</t>
        </is>
      </c>
      <c r="D12" t="inlineStr">
        <is>
          <t>david.martinez@example.com</t>
        </is>
      </c>
      <c r="E12" t="inlineStr">
        <is>
          <t>IT Specialist</t>
        </is>
      </c>
      <c r="F12" t="n">
        <v>68000</v>
      </c>
      <c r="G12" s="16" t="n">
        <v>43767</v>
      </c>
      <c r="H12" t="n">
        <v>5</v>
      </c>
    </row>
    <row r="13">
      <c r="A13" t="n">
        <v>1010</v>
      </c>
      <c r="B13" t="inlineStr">
        <is>
          <t>Olivia</t>
        </is>
      </c>
      <c r="C13" t="inlineStr">
        <is>
          <t>Wilson</t>
        </is>
      </c>
      <c r="D13" t="inlineStr">
        <is>
          <t>olivia.wilson@example.com</t>
        </is>
      </c>
      <c r="E13" t="inlineStr">
        <is>
          <t>Finance Analyst</t>
        </is>
      </c>
      <c r="F13" t="n">
        <v>83000</v>
      </c>
      <c r="G13" s="16" t="n">
        <v>42478</v>
      </c>
      <c r="H13" t="n">
        <v>5</v>
      </c>
    </row>
    <row r="16">
      <c r="A16" t="inlineStr">
        <is>
          <t>department_id</t>
        </is>
      </c>
      <c r="B16" t="inlineStr">
        <is>
          <t>department_name</t>
        </is>
      </c>
      <c r="C16" t="inlineStr">
        <is>
          <t>department_budget</t>
        </is>
      </c>
      <c r="D16" t="inlineStr">
        <is>
          <t>head_of_department</t>
        </is>
      </c>
      <c r="E16" t="inlineStr">
        <is>
          <t>number_of_employees</t>
        </is>
      </c>
      <c r="F16" t="inlineStr">
        <is>
          <t>department_goals</t>
        </is>
      </c>
      <c r="G16" t="inlineStr">
        <is>
          <t>location</t>
        </is>
      </c>
    </row>
    <row r="17">
      <c r="A17" t="n">
        <v>1</v>
      </c>
      <c r="B17" t="inlineStr">
        <is>
          <t>Engineering</t>
        </is>
      </c>
      <c r="C17" t="n">
        <v>1200000</v>
      </c>
      <c r="D17" t="inlineStr">
        <is>
          <t>Alice Green</t>
        </is>
      </c>
      <c r="E17" t="n">
        <v>2</v>
      </c>
      <c r="F17" t="inlineStr">
        <is>
          <t>Develop new products</t>
        </is>
      </c>
      <c r="G17" t="inlineStr">
        <is>
          <t>Building A</t>
        </is>
      </c>
    </row>
    <row r="18">
      <c r="A18" t="n">
        <v>2</v>
      </c>
      <c r="B18" t="inlineStr">
        <is>
          <t>Marketing</t>
        </is>
      </c>
      <c r="C18" t="n">
        <v>800000</v>
      </c>
      <c r="D18" t="inlineStr">
        <is>
          <t>Bob White</t>
        </is>
      </c>
      <c r="E18" t="n">
        <v>2</v>
      </c>
      <c r="F18" t="inlineStr">
        <is>
          <t>Increase brand awareness</t>
        </is>
      </c>
      <c r="G18" t="inlineStr">
        <is>
          <t>Building B</t>
        </is>
      </c>
    </row>
    <row r="19">
      <c r="A19" t="n">
        <v>3</v>
      </c>
      <c r="B19" t="inlineStr">
        <is>
          <t>Sales</t>
        </is>
      </c>
      <c r="C19" t="n">
        <v>600000</v>
      </c>
      <c r="D19" t="inlineStr">
        <is>
          <t>Carol Black</t>
        </is>
      </c>
      <c r="E19" t="n">
        <v>3</v>
      </c>
      <c r="F19" t="inlineStr">
        <is>
          <t>Boost sales</t>
        </is>
      </c>
      <c r="G19" t="inlineStr">
        <is>
          <t>Building C</t>
        </is>
      </c>
    </row>
    <row r="20">
      <c r="A20" t="n">
        <v>4</v>
      </c>
      <c r="B20" t="inlineStr">
        <is>
          <t>Human Resources</t>
        </is>
      </c>
      <c r="C20" t="n">
        <v>400000</v>
      </c>
      <c r="D20" t="inlineStr">
        <is>
          <t>Diana Silver</t>
        </is>
      </c>
      <c r="E20" t="n">
        <v>2</v>
      </c>
      <c r="F20" t="inlineStr">
        <is>
          <t>Enhance employee engagement</t>
        </is>
      </c>
      <c r="G20" t="inlineStr">
        <is>
          <t>Building D</t>
        </is>
      </c>
    </row>
    <row r="21">
      <c r="A21" t="n">
        <v>5</v>
      </c>
      <c r="B21" t="inlineStr">
        <is>
          <t>IT</t>
        </is>
      </c>
      <c r="C21" t="n">
        <v>450000</v>
      </c>
      <c r="D21" t="inlineStr">
        <is>
          <t>Ethan Gold</t>
        </is>
      </c>
      <c r="E21" t="n">
        <v>2</v>
      </c>
      <c r="F21" t="inlineStr">
        <is>
          <t>Improve IT infrastructure</t>
        </is>
      </c>
      <c r="G21" t="inlineStr">
        <is>
          <t>Building E</t>
        </is>
      </c>
    </row>
    <row r="24">
      <c r="A24" t="inlineStr">
        <is>
          <t>project_id</t>
        </is>
      </c>
      <c r="B24" t="inlineStr">
        <is>
          <t>project_name</t>
        </is>
      </c>
      <c r="C24" t="inlineStr">
        <is>
          <t>project_budget</t>
        </is>
      </c>
      <c r="D24" t="inlineStr">
        <is>
          <t>start_date</t>
        </is>
      </c>
      <c r="E24" t="inlineStr">
        <is>
          <t>end_date</t>
        </is>
      </c>
      <c r="F24" t="inlineStr">
        <is>
          <t>department_id</t>
        </is>
      </c>
    </row>
    <row r="25">
      <c r="A25" t="n">
        <v>201</v>
      </c>
      <c r="B25" t="inlineStr">
        <is>
          <t>Website Overhaul</t>
        </is>
      </c>
      <c r="C25" t="n">
        <v>60000</v>
      </c>
      <c r="D25" s="16" t="n">
        <v>45306</v>
      </c>
      <c r="E25" s="16" t="n">
        <v>45838</v>
      </c>
      <c r="F25" t="n">
        <v>1</v>
      </c>
    </row>
    <row r="26">
      <c r="A26" t="n">
        <v>202</v>
      </c>
      <c r="B26" t="inlineStr">
        <is>
          <t>Social Media Strategy</t>
        </is>
      </c>
      <c r="C26" t="n">
        <v>45000</v>
      </c>
      <c r="D26" s="16" t="n">
        <v>45342</v>
      </c>
      <c r="E26" s="16" t="n">
        <v>45910</v>
      </c>
      <c r="F26" t="n">
        <v>2</v>
      </c>
    </row>
    <row r="27">
      <c r="A27" t="n">
        <v>203</v>
      </c>
      <c r="B27" t="inlineStr">
        <is>
          <t>Product Launch</t>
        </is>
      </c>
      <c r="C27" t="n">
        <v>80000</v>
      </c>
      <c r="D27" s="16" t="n">
        <v>45381</v>
      </c>
      <c r="E27" s="16" t="n">
        <v>46022</v>
      </c>
      <c r="F27" t="n">
        <v>3</v>
      </c>
    </row>
    <row r="28">
      <c r="A28" t="n">
        <v>204</v>
      </c>
      <c r="B28" t="inlineStr">
        <is>
          <t>CRM Integration</t>
        </is>
      </c>
      <c r="C28" t="n">
        <v>50000</v>
      </c>
      <c r="D28" s="16" t="n">
        <v>44581</v>
      </c>
      <c r="E28" s="16" t="n">
        <v>44946</v>
      </c>
      <c r="F28" t="n">
        <v>1</v>
      </c>
    </row>
    <row r="29">
      <c r="A29" t="n">
        <v>205</v>
      </c>
      <c r="B29" t="inlineStr">
        <is>
          <t>Brand Repositioning</t>
        </is>
      </c>
      <c r="C29" t="n">
        <v>70000</v>
      </c>
      <c r="D29" s="16" t="n">
        <v>44652</v>
      </c>
      <c r="E29" s="16" t="n">
        <v>45017</v>
      </c>
      <c r="F29" t="n">
        <v>2</v>
      </c>
    </row>
    <row r="30">
      <c r="A30" t="n">
        <v>206</v>
      </c>
      <c r="B30" t="inlineStr">
        <is>
          <t>Mobile App Development</t>
        </is>
      </c>
      <c r="C30" t="n">
        <v>70000</v>
      </c>
      <c r="D30" s="16" t="n">
        <v>45453</v>
      </c>
      <c r="E30" s="16" t="n">
        <v>45884</v>
      </c>
      <c r="F30" t="n">
        <v>1</v>
      </c>
    </row>
    <row r="31">
      <c r="A31" t="n">
        <v>207</v>
      </c>
      <c r="B31" t="inlineStr">
        <is>
          <t>SEO Optimization</t>
        </is>
      </c>
      <c r="C31" t="n">
        <v>50000</v>
      </c>
      <c r="D31" s="16" t="n">
        <v>45505</v>
      </c>
      <c r="E31" s="16" t="n">
        <v>45962</v>
      </c>
      <c r="F31" t="n">
        <v>2</v>
      </c>
    </row>
    <row r="32">
      <c r="A32" t="n">
        <v>208</v>
      </c>
      <c r="B32" t="inlineStr">
        <is>
          <t>Customer Support System</t>
        </is>
      </c>
      <c r="C32" t="n">
        <v>55000</v>
      </c>
      <c r="D32" s="16" t="n">
        <v>44910</v>
      </c>
      <c r="E32" s="16" t="n">
        <v>44910</v>
      </c>
      <c r="F32" t="n">
        <v>3</v>
      </c>
    </row>
    <row r="33">
      <c r="A33" t="n">
        <v>209</v>
      </c>
      <c r="B33" t="inlineStr">
        <is>
          <t>Market Research</t>
        </is>
      </c>
      <c r="C33" t="n">
        <v>30000</v>
      </c>
      <c r="D33" s="16" t="n">
        <v>44645</v>
      </c>
      <c r="E33" s="16" t="n">
        <v>45010</v>
      </c>
      <c r="F33" t="n">
        <v>4</v>
      </c>
    </row>
    <row r="34">
      <c r="A34" t="n">
        <v>210</v>
      </c>
      <c r="B34" t="inlineStr">
        <is>
          <t>New Marketing Campaign</t>
        </is>
      </c>
      <c r="C34" t="n">
        <v>60000</v>
      </c>
      <c r="D34" s="16" t="n">
        <v>45545</v>
      </c>
      <c r="E34" s="16" t="n">
        <v>46001</v>
      </c>
      <c r="F34" t="n">
        <v>4</v>
      </c>
    </row>
    <row r="37">
      <c r="A37" t="inlineStr">
        <is>
          <t>assignment_id</t>
        </is>
      </c>
      <c r="B37" t="inlineStr">
        <is>
          <t>employee_id</t>
        </is>
      </c>
      <c r="C37" t="inlineStr">
        <is>
          <t>project_id</t>
        </is>
      </c>
    </row>
    <row r="38">
      <c r="A38" t="n">
        <v>1</v>
      </c>
      <c r="B38" t="n">
        <v>1001</v>
      </c>
      <c r="C38" t="n">
        <v>201</v>
      </c>
    </row>
    <row r="39">
      <c r="A39" t="n">
        <v>2</v>
      </c>
      <c r="B39" t="n">
        <v>1002</v>
      </c>
      <c r="C39" t="n">
        <v>202</v>
      </c>
    </row>
    <row r="40">
      <c r="A40" t="n">
        <v>3</v>
      </c>
      <c r="B40" t="n">
        <v>1003</v>
      </c>
      <c r="C40" t="n">
        <v>203</v>
      </c>
    </row>
    <row r="41">
      <c r="A41" t="n">
        <v>4</v>
      </c>
      <c r="B41" t="n">
        <v>1004</v>
      </c>
      <c r="C41" t="n">
        <v>204</v>
      </c>
    </row>
    <row r="42">
      <c r="A42" t="n">
        <v>5</v>
      </c>
      <c r="B42" t="n">
        <v>1005</v>
      </c>
      <c r="C42" t="n">
        <v>205</v>
      </c>
    </row>
    <row r="43">
      <c r="A43" t="n">
        <v>6</v>
      </c>
      <c r="B43" t="n">
        <v>1006</v>
      </c>
      <c r="C43" t="n">
        <v>206</v>
      </c>
    </row>
    <row r="44">
      <c r="A44" t="n">
        <v>7</v>
      </c>
      <c r="B44" t="n">
        <v>1007</v>
      </c>
      <c r="C44" t="n">
        <v>207</v>
      </c>
    </row>
    <row r="45">
      <c r="A45" t="n">
        <v>8</v>
      </c>
      <c r="B45" t="n">
        <v>1008</v>
      </c>
      <c r="C45" t="n">
        <v>208</v>
      </c>
    </row>
    <row r="46">
      <c r="A46" t="n">
        <v>9</v>
      </c>
      <c r="B46" t="n">
        <v>1009</v>
      </c>
      <c r="C46" t="n">
        <v>209</v>
      </c>
    </row>
    <row r="47">
      <c r="A47" t="n">
        <v>10</v>
      </c>
      <c r="B47" t="n">
        <v>1010</v>
      </c>
      <c r="C47" t="n">
        <v>210</v>
      </c>
    </row>
    <row r="50">
      <c r="A50" t="inlineStr">
        <is>
          <t>project_id</t>
        </is>
      </c>
      <c r="B50" t="inlineStr">
        <is>
          <t>project_name</t>
        </is>
      </c>
      <c r="C50" t="inlineStr">
        <is>
          <t>project_budget</t>
        </is>
      </c>
      <c r="D50" t="inlineStr">
        <is>
          <t>project_start_date</t>
        </is>
      </c>
      <c r="E50" t="inlineStr">
        <is>
          <t>project_end_date</t>
        </is>
      </c>
      <c r="F50" t="inlineStr">
        <is>
          <t>department_id</t>
        </is>
      </c>
    </row>
    <row r="51">
      <c r="A51" t="n">
        <v>204</v>
      </c>
      <c r="B51" t="inlineStr">
        <is>
          <t>CRM Integration</t>
        </is>
      </c>
      <c r="C51" t="n">
        <v>50000</v>
      </c>
      <c r="D51" s="16" t="n">
        <v>44581</v>
      </c>
      <c r="E51" s="16" t="n">
        <v>44946</v>
      </c>
      <c r="F51" t="n">
        <v>5</v>
      </c>
    </row>
    <row r="52">
      <c r="A52" t="n">
        <v>205</v>
      </c>
      <c r="B52" t="inlineStr">
        <is>
          <t>Brand Repositioning</t>
        </is>
      </c>
      <c r="C52" t="n">
        <v>70000</v>
      </c>
      <c r="D52" s="16" t="n">
        <v>44652</v>
      </c>
      <c r="E52" s="16" t="n">
        <v>45017</v>
      </c>
      <c r="F52" t="n">
        <v>2</v>
      </c>
    </row>
    <row r="53">
      <c r="A53" t="n">
        <v>208</v>
      </c>
      <c r="B53" t="inlineStr">
        <is>
          <t>Customer Support System</t>
        </is>
      </c>
      <c r="C53" t="n">
        <v>55000</v>
      </c>
      <c r="D53" s="16" t="n">
        <v>44910</v>
      </c>
      <c r="E53" s="16" t="n">
        <v>44910</v>
      </c>
      <c r="F53" t="n">
        <v>3</v>
      </c>
    </row>
    <row r="54">
      <c r="A54" t="n">
        <v>209</v>
      </c>
      <c r="B54" t="inlineStr">
        <is>
          <t>Market Research</t>
        </is>
      </c>
      <c r="C54" t="n">
        <v>30000</v>
      </c>
      <c r="D54" s="16" t="n">
        <v>44645</v>
      </c>
      <c r="E54" s="16" t="n">
        <v>45010</v>
      </c>
      <c r="F54" t="n">
        <v>4</v>
      </c>
    </row>
    <row r="57">
      <c r="A57" t="inlineStr">
        <is>
          <t>project_id</t>
        </is>
      </c>
      <c r="B57" t="inlineStr">
        <is>
          <t>project_name</t>
        </is>
      </c>
      <c r="C57" t="inlineStr">
        <is>
          <t>project_budget</t>
        </is>
      </c>
      <c r="D57" t="inlineStr">
        <is>
          <t>project_start_date</t>
        </is>
      </c>
      <c r="E57" t="inlineStr">
        <is>
          <t>project_end_date</t>
        </is>
      </c>
      <c r="F57" t="inlineStr">
        <is>
          <t>department_id</t>
        </is>
      </c>
      <c r="G57" t="inlineStr">
        <is>
          <t>project_lead</t>
        </is>
      </c>
    </row>
    <row r="58">
      <c r="A58" t="n">
        <v>201</v>
      </c>
      <c r="B58" t="inlineStr">
        <is>
          <t>Website Overhaul</t>
        </is>
      </c>
      <c r="C58" t="n">
        <v>60000</v>
      </c>
      <c r="D58" s="16" t="n">
        <v>45672</v>
      </c>
      <c r="E58" s="16" t="n">
        <v>45838</v>
      </c>
      <c r="F58" t="n">
        <v>5</v>
      </c>
      <c r="G58" t="inlineStr">
        <is>
          <t>Alice Green</t>
        </is>
      </c>
    </row>
    <row r="59">
      <c r="A59" t="n">
        <v>202</v>
      </c>
      <c r="B59" t="inlineStr">
        <is>
          <t>Social Media Strategy</t>
        </is>
      </c>
      <c r="C59" t="n">
        <v>45000</v>
      </c>
      <c r="D59" s="16" t="n">
        <v>45708</v>
      </c>
      <c r="E59" s="16" t="n">
        <v>45910</v>
      </c>
      <c r="F59" t="n">
        <v>2</v>
      </c>
      <c r="G59" t="inlineStr">
        <is>
          <t>Bob White</t>
        </is>
      </c>
    </row>
    <row r="60">
      <c r="A60" t="n">
        <v>203</v>
      </c>
      <c r="B60" t="inlineStr">
        <is>
          <t>Product Launch</t>
        </is>
      </c>
      <c r="C60" t="n">
        <v>80000</v>
      </c>
      <c r="D60" s="16" t="n">
        <v>45746</v>
      </c>
      <c r="E60" s="16" t="n">
        <v>46022</v>
      </c>
      <c r="F60" t="n">
        <v>3</v>
      </c>
      <c r="G60" t="inlineStr">
        <is>
          <t>Carol Black</t>
        </is>
      </c>
    </row>
    <row r="61">
      <c r="A61" t="n">
        <v>210</v>
      </c>
      <c r="B61" t="inlineStr">
        <is>
          <t>New Marketing Campaign</t>
        </is>
      </c>
      <c r="C61" t="n">
        <v>60000</v>
      </c>
      <c r="D61" s="16" t="n">
        <v>45910</v>
      </c>
      <c r="E61" s="16" t="n">
        <v>46001</v>
      </c>
      <c r="F61" t="n">
        <v>4</v>
      </c>
      <c r="G61" t="inlineStr">
        <is>
          <t>Diana Silver</t>
        </is>
      </c>
    </row>
    <row r="62">
      <c r="A62" t="n">
        <v>206</v>
      </c>
      <c r="B62" t="inlineStr">
        <is>
          <t>Mobile App Development</t>
        </is>
      </c>
      <c r="C62" t="n">
        <v>70000</v>
      </c>
      <c r="D62" s="16" t="n">
        <v>45818</v>
      </c>
      <c r="E62" s="16" t="n">
        <v>45884</v>
      </c>
      <c r="F62" t="n">
        <v>1</v>
      </c>
      <c r="G62" t="inlineStr">
        <is>
          <t>Eva Brown</t>
        </is>
      </c>
    </row>
    <row r="63">
      <c r="A63" t="n">
        <v>207</v>
      </c>
      <c r="B63" t="inlineStr">
        <is>
          <t>SEO Optimization</t>
        </is>
      </c>
      <c r="C63" t="n">
        <v>50000</v>
      </c>
      <c r="D63" s="16" t="n">
        <v>45870</v>
      </c>
      <c r="E63" s="16" t="n">
        <v>45962</v>
      </c>
      <c r="F63" t="n">
        <v>2</v>
      </c>
      <c r="G63" t="inlineStr">
        <is>
          <t>Frank Gray</t>
        </is>
      </c>
    </row>
  </sheetData>
  <pageMargins left="0.75" right="0.75" top="1" bottom="1" header="0.5" footer="0.5"/>
  <tableParts count="6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>ProjectRoot</t>
        </is>
      </c>
      <c r="C1" s="15" t="inlineStr">
        <is>
          <t>Update ProjectRoot if this project folder moves.</t>
        </is>
      </c>
    </row>
    <row r="2">
      <c r="A2" t="inlineStr">
        <is>
          <t>c:\Users\shivr\OneDrive\Desktop\Data Analytics\Financial-Analytics-Dashboard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Financial Analytics Dashboard</dc:creator>
  <dc:title>Financial Analytics Report</dc:title>
  <dc:subject>Descriptive reporting from cleaned project budget data</dc:subject>
  <dcterms:created xsi:type="dcterms:W3CDTF">2026-09-30T13:54:04Z</dcterms:created>
  <dcterms:modified xsi:type="dcterms:W3CDTF">2026-09-30T13:57:32Z</dcterms:modified>
</cp:coreProperties>
</file>